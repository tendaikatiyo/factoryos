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9519AAD-279A-41A1-B7DD-E284C5DCB771}" xr6:coauthVersionLast="47" xr6:coauthVersionMax="47" xr10:uidLastSave="{00000000-0000-0000-0000-000000000000}"/>
  <bookViews>
    <workbookView xWindow="-120" yWindow="-120" windowWidth="19440" windowHeight="15600" firstSheet="120" activeTab="125" xr2:uid="{00000000-000D-0000-FFFF-FFFF00000000}"/>
  </bookViews>
  <sheets>
    <sheet name="01.04.2026" sheetId="106" r:id="rId1"/>
    <sheet name="02.04.2026" sheetId="107" r:id="rId2"/>
    <sheet name="03.04.2026" sheetId="108" r:id="rId3"/>
    <sheet name="07.04.2026" sheetId="109" r:id="rId4"/>
    <sheet name="08.04.2026" sheetId="110" r:id="rId5"/>
    <sheet name="09.04.2026" sheetId="111" r:id="rId6"/>
    <sheet name="10.04.2026" sheetId="112" r:id="rId7"/>
    <sheet name="11.04.2026" sheetId="113" r:id="rId8"/>
    <sheet name="13.04.2026" sheetId="114" r:id="rId9"/>
    <sheet name="14.04.2026" sheetId="115" r:id="rId10"/>
    <sheet name="15.04.2026" sheetId="223" r:id="rId11"/>
    <sheet name="16.04.2026" sheetId="224" r:id="rId12"/>
    <sheet name="17.04.2026" sheetId="116" r:id="rId13"/>
    <sheet name="18.04.2026" sheetId="117" r:id="rId14"/>
    <sheet name="20.04.2026" sheetId="118" r:id="rId15"/>
    <sheet name="21.04.2026" sheetId="120" r:id="rId16"/>
    <sheet name="22.04.2026" sheetId="121" r:id="rId17"/>
    <sheet name="23.04.2026" sheetId="122" r:id="rId18"/>
    <sheet name="24.04.2026" sheetId="123" r:id="rId19"/>
    <sheet name="25.04.2026" sheetId="124" r:id="rId20"/>
    <sheet name="27.04.2026" sheetId="125" r:id="rId21"/>
    <sheet name="28.04.2026" sheetId="126" r:id="rId22"/>
    <sheet name="29.04.2026" sheetId="127" r:id="rId23"/>
    <sheet name="30.04.2026" sheetId="128" r:id="rId24"/>
    <sheet name="02.05.2026" sheetId="129" r:id="rId25"/>
    <sheet name="04.05.2026" sheetId="130" r:id="rId26"/>
    <sheet name="05.05.2026" sheetId="131" r:id="rId27"/>
    <sheet name="06.05.2026" sheetId="132" r:id="rId28"/>
    <sheet name="07.05.2026" sheetId="133" r:id="rId29"/>
    <sheet name="08.05.2026" sheetId="134" r:id="rId30"/>
    <sheet name="09.05.2026" sheetId="135" r:id="rId31"/>
    <sheet name="12.05.2026" sheetId="136" r:id="rId32"/>
    <sheet name="13.05.2026" sheetId="137" r:id="rId33"/>
    <sheet name="14.05.2026" sheetId="138" r:id="rId34"/>
    <sheet name="15.05.2026" sheetId="139" r:id="rId35"/>
    <sheet name="18.05.2026" sheetId="140" r:id="rId36"/>
    <sheet name="19.05.2026" sheetId="141" r:id="rId37"/>
    <sheet name="20.05.2026" sheetId="142" r:id="rId38"/>
    <sheet name="21.05.2026" sheetId="143" r:id="rId39"/>
    <sheet name="22.05.2026" sheetId="144" r:id="rId40"/>
    <sheet name="23.05.2026" sheetId="145" r:id="rId41"/>
    <sheet name="26.05.2026" sheetId="146" r:id="rId42"/>
    <sheet name="27.05.2026" sheetId="147" r:id="rId43"/>
    <sheet name="28.05.2026" sheetId="148" r:id="rId44"/>
    <sheet name="29.05.2026" sheetId="149" r:id="rId45"/>
    <sheet name="30.05.2026" sheetId="225" r:id="rId46"/>
    <sheet name="01.06.2026" sheetId="150" r:id="rId47"/>
    <sheet name="02.06.2026" sheetId="151" r:id="rId48"/>
    <sheet name="03.06.2026" sheetId="152" r:id="rId49"/>
    <sheet name="04.06.2026" sheetId="153" r:id="rId50"/>
    <sheet name="05.06.2026" sheetId="154" r:id="rId51"/>
    <sheet name="06.06.2026" sheetId="155" r:id="rId52"/>
    <sheet name="08.06.2026" sheetId="156" r:id="rId53"/>
    <sheet name="09.06.2026" sheetId="157" r:id="rId54"/>
    <sheet name="10.06.2026" sheetId="158" r:id="rId55"/>
    <sheet name="11.06.2026" sheetId="159" r:id="rId56"/>
    <sheet name="12.06.2026" sheetId="160" r:id="rId57"/>
    <sheet name="13.06.2026" sheetId="161" r:id="rId58"/>
    <sheet name="15.06.2026" sheetId="162" r:id="rId59"/>
    <sheet name="16.06.2026" sheetId="163" r:id="rId60"/>
    <sheet name="17.06.2026" sheetId="164" r:id="rId61"/>
    <sheet name="18.06.2026" sheetId="165" r:id="rId62"/>
    <sheet name="19.06.2026" sheetId="166" r:id="rId63"/>
    <sheet name="20.06.2026" sheetId="167" r:id="rId64"/>
    <sheet name="22.06.2026" sheetId="168" r:id="rId65"/>
    <sheet name="23.06.2026" sheetId="169" r:id="rId66"/>
    <sheet name="24.06.2026" sheetId="170" r:id="rId67"/>
    <sheet name="25.06.2026" sheetId="171" r:id="rId68"/>
    <sheet name="26.06.2026" sheetId="172" r:id="rId69"/>
    <sheet name="27.06.2026" sheetId="173" r:id="rId70"/>
    <sheet name="29.06.2026" sheetId="174" r:id="rId71"/>
    <sheet name="30.06.2026" sheetId="175" r:id="rId72"/>
    <sheet name="01.07.2026" sheetId="176" r:id="rId73"/>
    <sheet name="02.07.2026" sheetId="177" r:id="rId74"/>
    <sheet name="03.07.2026" sheetId="178" r:id="rId75"/>
    <sheet name="04.07.2026" sheetId="179" r:id="rId76"/>
    <sheet name="06.07.2026" sheetId="180" r:id="rId77"/>
    <sheet name="07.07.2026" sheetId="181" r:id="rId78"/>
    <sheet name="08.07.2026" sheetId="182" r:id="rId79"/>
    <sheet name="09.07.2026" sheetId="183" r:id="rId80"/>
    <sheet name="10.07.2026" sheetId="184" r:id="rId81"/>
    <sheet name="11.07.2026" sheetId="185" r:id="rId82"/>
    <sheet name="13.07.2026" sheetId="186" r:id="rId83"/>
    <sheet name="14.07.2026" sheetId="187" r:id="rId84"/>
    <sheet name="15.07.2026" sheetId="188" r:id="rId85"/>
    <sheet name="16.07.2026" sheetId="189" r:id="rId86"/>
    <sheet name="17.07.2026" sheetId="190" r:id="rId87"/>
    <sheet name="18.07.2026" sheetId="191" r:id="rId88"/>
    <sheet name="20.07.2026" sheetId="192" r:id="rId89"/>
    <sheet name="M L T COUNTING" sheetId="193" r:id="rId90"/>
    <sheet name="23.07.2026" sheetId="194" r:id="rId91"/>
    <sheet name="24.07.2026" sheetId="195" r:id="rId92"/>
    <sheet name="25.07.2026" sheetId="196" r:id="rId93"/>
    <sheet name="27.07.2026" sheetId="197" r:id="rId94"/>
    <sheet name="M L T number 2" sheetId="198" r:id="rId95"/>
    <sheet name="28.07.2026" sheetId="199" r:id="rId96"/>
    <sheet name="29.07.2026" sheetId="200" r:id="rId97"/>
    <sheet name="30.07.2026" sheetId="201" r:id="rId98"/>
    <sheet name="31.07.2026" sheetId="202" r:id="rId99"/>
    <sheet name="01.08.2026" sheetId="203" r:id="rId100"/>
    <sheet name="03.08.2026" sheetId="204" r:id="rId101"/>
    <sheet name="04.08.2026" sheetId="205" r:id="rId102"/>
    <sheet name="05.08.2026" sheetId="206" r:id="rId103"/>
    <sheet name="M L T Nu3" sheetId="207" r:id="rId104"/>
    <sheet name="06.08.2026" sheetId="208" r:id="rId105"/>
    <sheet name="07.08.2026" sheetId="209" r:id="rId106"/>
    <sheet name="08.08.2026" sheetId="210" r:id="rId107"/>
    <sheet name="12.08.2026" sheetId="211" r:id="rId108"/>
    <sheet name="13.08.2026" sheetId="212" r:id="rId109"/>
    <sheet name="Sheet114" sheetId="213" r:id="rId110"/>
    <sheet name="17.08.2026" sheetId="214" r:id="rId111"/>
    <sheet name="18.08.2026" sheetId="215" r:id="rId112"/>
    <sheet name="19.08.2026" sheetId="216" r:id="rId113"/>
    <sheet name="20.08.2026" sheetId="217" r:id="rId114"/>
    <sheet name="MLT NU4" sheetId="218" r:id="rId115"/>
    <sheet name="21.08.2026" sheetId="219" r:id="rId116"/>
    <sheet name="22.08.2026" sheetId="220" r:id="rId117"/>
    <sheet name="24.08.2026" sheetId="221" r:id="rId118"/>
    <sheet name="25.08.2026" sheetId="222" r:id="rId119"/>
    <sheet name="26.08.2026" sheetId="226" r:id="rId120"/>
    <sheet name="27.08.2026" sheetId="227" r:id="rId121"/>
    <sheet name="MLT5" sheetId="228" r:id="rId122"/>
    <sheet name="28.08.2026" sheetId="229" r:id="rId123"/>
    <sheet name="29.08.2026" sheetId="230" r:id="rId124"/>
    <sheet name="31.08.2026" sheetId="231" r:id="rId125"/>
    <sheet name="01.09.2026" sheetId="232" r:id="rId126"/>
    <sheet name="Sheet8" sheetId="233" r:id="rId127"/>
    <sheet name="Sheet9" sheetId="234" r:id="rId128"/>
    <sheet name="Sheet10" sheetId="235" r:id="rId129"/>
    <sheet name="Sheet11" sheetId="236" r:id="rId130"/>
    <sheet name="Sheet12" sheetId="237" r:id="rId131"/>
    <sheet name="Sheet13" sheetId="238" r:id="rId132"/>
    <sheet name="Sheet14" sheetId="239" r:id="rId133"/>
    <sheet name="Sheet15" sheetId="240" r:id="rId134"/>
    <sheet name="Sheet16" sheetId="241" r:id="rId135"/>
    <sheet name="Sheet17" sheetId="242" r:id="rId136"/>
    <sheet name="Sheet18" sheetId="243" r:id="rId137"/>
    <sheet name="Sheet19" sheetId="244" r:id="rId138"/>
    <sheet name="Sheet20" sheetId="245" r:id="rId139"/>
    <sheet name="Sheet21" sheetId="246" r:id="rId140"/>
    <sheet name="Sheet22" sheetId="247" r:id="rId141"/>
    <sheet name="Sheet23" sheetId="248" r:id="rId142"/>
    <sheet name="Sheet24" sheetId="249" r:id="rId143"/>
    <sheet name="Sheet25" sheetId="250" r:id="rId144"/>
    <sheet name="Sheet26" sheetId="251" r:id="rId145"/>
    <sheet name="Sheet27" sheetId="252" r:id="rId146"/>
    <sheet name="Sheet28" sheetId="253" r:id="rId147"/>
    <sheet name="Sheet29" sheetId="254" r:id="rId148"/>
    <sheet name="Sheet30" sheetId="255" r:id="rId149"/>
    <sheet name="Sheet31" sheetId="256" r:id="rId150"/>
    <sheet name="Sheet32" sheetId="257" r:id="rId151"/>
    <sheet name="Sheet33" sheetId="258" r:id="rId152"/>
    <sheet name="Sheet34" sheetId="259" r:id="rId153"/>
    <sheet name="Sheet35" sheetId="260" r:id="rId154"/>
    <sheet name="Sheet36" sheetId="261" r:id="rId155"/>
    <sheet name="Sheet37" sheetId="262" r:id="rId156"/>
    <sheet name="Sheet38" sheetId="263" r:id="rId1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9" i="232" l="1"/>
  <c r="I18" i="232"/>
  <c r="I17" i="232"/>
  <c r="H16" i="232"/>
  <c r="I16" i="232" s="1"/>
  <c r="I15" i="232"/>
  <c r="H13" i="232"/>
  <c r="H10" i="232"/>
  <c r="H6" i="232"/>
  <c r="I6" i="232" s="1"/>
  <c r="F5" i="232"/>
  <c r="H4" i="232"/>
  <c r="I4" i="232" s="1"/>
  <c r="I21" i="232"/>
  <c r="I20" i="232"/>
  <c r="I14" i="232"/>
  <c r="I13" i="232"/>
  <c r="I12" i="232"/>
  <c r="I11" i="232"/>
  <c r="I10" i="232"/>
  <c r="I9" i="232"/>
  <c r="I8" i="232"/>
  <c r="I7" i="232"/>
  <c r="I5" i="232"/>
  <c r="A24" i="233"/>
  <c r="A22" i="233"/>
  <c r="I12" i="231"/>
  <c r="I11" i="231"/>
  <c r="I10" i="231"/>
  <c r="H8" i="231"/>
  <c r="F8" i="231"/>
  <c r="H16" i="231"/>
  <c r="I16" i="231" s="1"/>
  <c r="H14" i="231"/>
  <c r="F14" i="231"/>
  <c r="I9" i="231"/>
  <c r="I8" i="231"/>
  <c r="H6" i="231"/>
  <c r="I6" i="231" s="1"/>
  <c r="I15" i="231"/>
  <c r="I14" i="231"/>
  <c r="I13" i="231"/>
  <c r="I7" i="231"/>
  <c r="I5" i="231"/>
  <c r="I4" i="231"/>
  <c r="F4" i="231"/>
  <c r="H11" i="230"/>
  <c r="I11" i="230" s="1"/>
  <c r="H10" i="230"/>
  <c r="I10" i="230" s="1"/>
  <c r="H9" i="230"/>
  <c r="I9" i="230" s="1"/>
  <c r="I8" i="230"/>
  <c r="I7" i="230"/>
  <c r="I6" i="230"/>
  <c r="I5" i="230"/>
  <c r="I4" i="230"/>
  <c r="I24" i="229"/>
  <c r="F18" i="229"/>
  <c r="F10" i="229"/>
  <c r="H9" i="229"/>
  <c r="I9" i="229" s="1"/>
  <c r="F23" i="229"/>
  <c r="H7" i="229"/>
  <c r="I7" i="229" s="1"/>
  <c r="H25" i="229"/>
  <c r="I25" i="229" s="1"/>
  <c r="H26" i="229"/>
  <c r="I26" i="229" s="1"/>
  <c r="H19" i="229"/>
  <c r="I19" i="229" s="1"/>
  <c r="F19" i="229"/>
  <c r="H17" i="229"/>
  <c r="I17" i="229" s="1"/>
  <c r="H8" i="229"/>
  <c r="I8" i="229" s="1"/>
  <c r="H6" i="229"/>
  <c r="H5" i="229"/>
  <c r="I5" i="229" s="1"/>
  <c r="I23" i="229"/>
  <c r="I22" i="229"/>
  <c r="I21" i="229"/>
  <c r="I20" i="229"/>
  <c r="I18" i="229"/>
  <c r="I16" i="229"/>
  <c r="I15" i="229"/>
  <c r="I14" i="229"/>
  <c r="I13" i="229"/>
  <c r="I12" i="229"/>
  <c r="I11" i="229"/>
  <c r="I10" i="229"/>
  <c r="I6" i="229"/>
  <c r="I4" i="229"/>
  <c r="I21" i="227"/>
  <c r="I20" i="227"/>
  <c r="I19" i="227"/>
  <c r="I18" i="227"/>
  <c r="I13" i="227"/>
  <c r="F13" i="227"/>
  <c r="F8" i="227"/>
  <c r="H27" i="227"/>
  <c r="H26" i="227"/>
  <c r="H25" i="227"/>
  <c r="I25" i="227" s="1"/>
  <c r="H23" i="227"/>
  <c r="H16" i="227"/>
  <c r="H15" i="227"/>
  <c r="H12" i="227"/>
  <c r="I12" i="227" s="1"/>
  <c r="H10" i="227"/>
  <c r="I10" i="227" s="1"/>
  <c r="H9" i="227"/>
  <c r="I9" i="227" s="1"/>
  <c r="H7" i="227"/>
  <c r="H5" i="227"/>
  <c r="I5" i="227" s="1"/>
  <c r="H4" i="227"/>
  <c r="I27" i="227"/>
  <c r="I26" i="227"/>
  <c r="I24" i="227"/>
  <c r="I23" i="227"/>
  <c r="I22" i="227"/>
  <c r="I17" i="227"/>
  <c r="I16" i="227"/>
  <c r="I15" i="227"/>
  <c r="I14" i="227"/>
  <c r="I11" i="227"/>
  <c r="I8" i="227"/>
  <c r="I7" i="227"/>
  <c r="I6" i="227"/>
  <c r="I4" i="227"/>
  <c r="I4" i="226"/>
  <c r="H5" i="226"/>
  <c r="I5" i="226"/>
  <c r="H6" i="226"/>
  <c r="I6" i="226"/>
  <c r="I7" i="226"/>
  <c r="H8" i="226"/>
  <c r="I8" i="226"/>
  <c r="I9" i="226"/>
  <c r="H10" i="226"/>
  <c r="I10" i="226"/>
  <c r="F11" i="226"/>
  <c r="I11" i="226"/>
  <c r="I12" i="226"/>
  <c r="H13" i="226"/>
  <c r="I13" i="226"/>
  <c r="H14" i="226"/>
  <c r="I14" i="226"/>
  <c r="I15" i="226"/>
  <c r="I16" i="226"/>
  <c r="I17" i="226"/>
  <c r="I18" i="226"/>
  <c r="H19" i="226"/>
  <c r="I19" i="226"/>
  <c r="I20" i="226"/>
  <c r="H21" i="226"/>
  <c r="I21" i="226"/>
  <c r="I22" i="226"/>
  <c r="I20" i="222"/>
  <c r="F9" i="222"/>
  <c r="I7" i="222"/>
  <c r="H5" i="222"/>
  <c r="I5" i="222" s="1"/>
  <c r="H11" i="220"/>
  <c r="I11" i="220"/>
  <c r="H19" i="222"/>
  <c r="I19" i="222" s="1"/>
  <c r="H11" i="222"/>
  <c r="I11" i="222" s="1"/>
  <c r="H10" i="222"/>
  <c r="I10" i="222" s="1"/>
  <c r="H8" i="222"/>
  <c r="F8" i="222"/>
  <c r="H6" i="222"/>
  <c r="I21" i="222"/>
  <c r="I18" i="222"/>
  <c r="I17" i="222"/>
  <c r="I16" i="222"/>
  <c r="I15" i="222"/>
  <c r="I14" i="222"/>
  <c r="I13" i="222"/>
  <c r="I12" i="222"/>
  <c r="I9" i="222"/>
  <c r="I8" i="222"/>
  <c r="I6" i="222"/>
  <c r="I4" i="222"/>
  <c r="I18" i="221"/>
  <c r="I17" i="221"/>
  <c r="I16" i="221"/>
  <c r="I12" i="221"/>
  <c r="H21" i="221"/>
  <c r="H14" i="221"/>
  <c r="I14" i="221" s="1"/>
  <c r="H10" i="221"/>
  <c r="I10" i="221" s="1"/>
  <c r="H7" i="221"/>
  <c r="I7" i="221" s="1"/>
  <c r="F4" i="221"/>
  <c r="I22" i="221"/>
  <c r="I21" i="221"/>
  <c r="I20" i="221"/>
  <c r="I19" i="221"/>
  <c r="H15" i="221"/>
  <c r="I15" i="221" s="1"/>
  <c r="F15" i="221"/>
  <c r="I13" i="221"/>
  <c r="I11" i="221"/>
  <c r="I9" i="221"/>
  <c r="I8" i="221"/>
  <c r="I6" i="221"/>
  <c r="I5" i="221"/>
  <c r="I4" i="221"/>
  <c r="H16" i="220"/>
  <c r="I16" i="220" s="1"/>
  <c r="H21" i="211"/>
  <c r="F21" i="211"/>
  <c r="I21" i="211"/>
  <c r="H22" i="200"/>
  <c r="I22" i="200" s="1"/>
  <c r="F15" i="220"/>
  <c r="H14" i="220"/>
  <c r="F14" i="220"/>
  <c r="H18" i="220"/>
  <c r="H17" i="220"/>
  <c r="I17" i="220" s="1"/>
  <c r="H13" i="220"/>
  <c r="I13" i="220" s="1"/>
  <c r="H9" i="220"/>
  <c r="H5" i="220"/>
  <c r="I5" i="220" s="1"/>
  <c r="F4" i="220"/>
  <c r="I18" i="220"/>
  <c r="I15" i="220"/>
  <c r="I14" i="220"/>
  <c r="I12" i="220"/>
  <c r="I10" i="220"/>
  <c r="I9" i="220"/>
  <c r="I8" i="220"/>
  <c r="I7" i="220"/>
  <c r="I6" i="220"/>
  <c r="I4" i="220"/>
  <c r="I14" i="219"/>
  <c r="I13" i="219"/>
  <c r="I12" i="219"/>
  <c r="I11" i="219"/>
  <c r="I10" i="219"/>
  <c r="H18" i="219"/>
  <c r="I18" i="219" s="1"/>
  <c r="H9" i="219"/>
  <c r="I9" i="219" s="1"/>
  <c r="H7" i="219"/>
  <c r="I7" i="219" s="1"/>
  <c r="H6" i="219"/>
  <c r="I6" i="219" s="1"/>
  <c r="I5" i="219"/>
  <c r="I20" i="219"/>
  <c r="I19" i="219"/>
  <c r="I17" i="219"/>
  <c r="I16" i="219"/>
  <c r="I15" i="219"/>
  <c r="I8" i="219"/>
  <c r="I4" i="219"/>
  <c r="H14" i="217"/>
  <c r="H8" i="217"/>
  <c r="H7" i="217"/>
  <c r="I7" i="217" s="1"/>
  <c r="I14" i="217"/>
  <c r="I13" i="217"/>
  <c r="I12" i="217"/>
  <c r="I11" i="217"/>
  <c r="I10" i="217"/>
  <c r="I9" i="217"/>
  <c r="I8" i="217"/>
  <c r="I6" i="217"/>
  <c r="I5" i="217"/>
  <c r="I4" i="217"/>
  <c r="H11" i="216"/>
  <c r="I11" i="216" s="1"/>
  <c r="F18" i="216"/>
  <c r="H21" i="216"/>
  <c r="I21" i="216" s="1"/>
  <c r="H19" i="216"/>
  <c r="I19" i="216" s="1"/>
  <c r="H17" i="216"/>
  <c r="H9" i="216"/>
  <c r="I9" i="216" s="1"/>
  <c r="H7" i="216"/>
  <c r="H5" i="216"/>
  <c r="I5" i="216" s="1"/>
  <c r="H4" i="216"/>
  <c r="I20" i="216"/>
  <c r="I18" i="216"/>
  <c r="I17" i="216"/>
  <c r="I16" i="216"/>
  <c r="I15" i="216"/>
  <c r="I14" i="216"/>
  <c r="I13" i="216"/>
  <c r="I12" i="216"/>
  <c r="I10" i="216"/>
  <c r="I8" i="216"/>
  <c r="I7" i="216"/>
  <c r="I6" i="216"/>
  <c r="I4" i="216"/>
  <c r="I23" i="215"/>
  <c r="H22" i="215"/>
  <c r="I16" i="215"/>
  <c r="F15" i="215"/>
  <c r="H14" i="215"/>
  <c r="I14" i="215" s="1"/>
  <c r="H12" i="215"/>
  <c r="H6" i="215"/>
  <c r="I22" i="215"/>
  <c r="I21" i="215"/>
  <c r="I20" i="215"/>
  <c r="I19" i="215"/>
  <c r="I18" i="215"/>
  <c r="I17" i="215"/>
  <c r="I15" i="215"/>
  <c r="I13" i="215"/>
  <c r="I12" i="215"/>
  <c r="I11" i="215"/>
  <c r="I10" i="215"/>
  <c r="I9" i="215"/>
  <c r="I8" i="215"/>
  <c r="I7" i="215"/>
  <c r="I6" i="215"/>
  <c r="I5" i="215"/>
  <c r="I4" i="215"/>
  <c r="F6" i="214"/>
  <c r="H9" i="214"/>
  <c r="F9" i="214"/>
  <c r="F4" i="214"/>
  <c r="I19" i="214"/>
  <c r="I18" i="214"/>
  <c r="I17" i="214"/>
  <c r="I16" i="214"/>
  <c r="I15" i="214"/>
  <c r="I14" i="214"/>
  <c r="I13" i="214"/>
  <c r="I12" i="214"/>
  <c r="I11" i="214"/>
  <c r="I10" i="214"/>
  <c r="I9" i="214"/>
  <c r="I8" i="214"/>
  <c r="I7" i="214"/>
  <c r="I6" i="214"/>
  <c r="I5" i="214"/>
  <c r="I4" i="214"/>
  <c r="I20" i="212"/>
  <c r="H19" i="212"/>
  <c r="H15" i="212"/>
  <c r="H12" i="212"/>
  <c r="H11" i="212"/>
  <c r="I11" i="212" s="1"/>
  <c r="H9" i="212"/>
  <c r="H8" i="212"/>
  <c r="H7" i="212"/>
  <c r="I22" i="212"/>
  <c r="I21" i="212"/>
  <c r="I19" i="212"/>
  <c r="I18" i="212"/>
  <c r="I17" i="212"/>
  <c r="I16" i="212"/>
  <c r="I15" i="212"/>
  <c r="I14" i="212"/>
  <c r="I13" i="212"/>
  <c r="I12" i="212"/>
  <c r="I10" i="212"/>
  <c r="I9" i="212"/>
  <c r="I8" i="212"/>
  <c r="I7" i="212"/>
  <c r="I6" i="212"/>
  <c r="I5" i="212"/>
  <c r="I4" i="212"/>
  <c r="H20" i="211"/>
  <c r="I20" i="211" s="1"/>
  <c r="H13" i="211"/>
  <c r="I13" i="211" s="1"/>
  <c r="H15" i="211"/>
  <c r="I15" i="211" s="1"/>
  <c r="F15" i="211"/>
  <c r="H23" i="211"/>
  <c r="I23" i="211" s="1"/>
  <c r="F23" i="211"/>
  <c r="H9" i="211"/>
  <c r="I9" i="211" s="1"/>
  <c r="H8" i="211"/>
  <c r="I8" i="211" s="1"/>
  <c r="F14" i="211"/>
  <c r="H12" i="211"/>
  <c r="I12" i="211" s="1"/>
  <c r="F12" i="211"/>
  <c r="H5" i="211"/>
  <c r="F5" i="211"/>
  <c r="I5" i="211"/>
  <c r="I4" i="211"/>
  <c r="H30" i="211"/>
  <c r="F30" i="211"/>
  <c r="H29" i="211"/>
  <c r="I29" i="211" s="1"/>
  <c r="H27" i="211"/>
  <c r="I27" i="211" s="1"/>
  <c r="H25" i="211"/>
  <c r="I25" i="211" s="1"/>
  <c r="H24" i="211"/>
  <c r="I24" i="211" s="1"/>
  <c r="H22" i="211"/>
  <c r="I22" i="211" s="1"/>
  <c r="H17" i="211"/>
  <c r="I17" i="211" s="1"/>
  <c r="F17" i="211"/>
  <c r="H11" i="211"/>
  <c r="F11" i="211"/>
  <c r="H7" i="211"/>
  <c r="I30" i="211"/>
  <c r="I28" i="211"/>
  <c r="I26" i="211"/>
  <c r="I19" i="211"/>
  <c r="I18" i="211"/>
  <c r="I16" i="211"/>
  <c r="I14" i="211"/>
  <c r="I11" i="211"/>
  <c r="I10" i="211"/>
  <c r="I7" i="211"/>
  <c r="I6" i="211"/>
  <c r="H9" i="210"/>
  <c r="F17" i="210"/>
  <c r="H23" i="210"/>
  <c r="I23" i="210" s="1"/>
  <c r="H20" i="210"/>
  <c r="H19" i="210"/>
  <c r="I19" i="210" s="1"/>
  <c r="H16" i="210"/>
  <c r="H15" i="210"/>
  <c r="I15" i="210" s="1"/>
  <c r="H14" i="210"/>
  <c r="H13" i="210"/>
  <c r="I13" i="210" s="1"/>
  <c r="H11" i="210"/>
  <c r="H10" i="210"/>
  <c r="I10" i="210" s="1"/>
  <c r="I22" i="210"/>
  <c r="I21" i="210"/>
  <c r="I20" i="210"/>
  <c r="I18" i="210"/>
  <c r="I17" i="210"/>
  <c r="I16" i="210"/>
  <c r="I14" i="210"/>
  <c r="I12" i="210"/>
  <c r="I11" i="210"/>
  <c r="I9" i="210"/>
  <c r="I8" i="210"/>
  <c r="I7" i="210"/>
  <c r="I6" i="210"/>
  <c r="I5" i="210"/>
  <c r="I4" i="210"/>
  <c r="I14" i="209"/>
  <c r="I13" i="209"/>
  <c r="F16" i="209"/>
  <c r="H23" i="209"/>
  <c r="H10" i="209"/>
  <c r="I10" i="209"/>
  <c r="H18" i="208"/>
  <c r="I18" i="208" s="1"/>
  <c r="F18" i="208"/>
  <c r="H19" i="209"/>
  <c r="H18" i="209"/>
  <c r="I18" i="209" s="1"/>
  <c r="H11" i="209"/>
  <c r="H9" i="209"/>
  <c r="I9" i="209" s="1"/>
  <c r="H8" i="209"/>
  <c r="H7" i="209"/>
  <c r="I7" i="209" s="1"/>
  <c r="H5" i="209"/>
  <c r="I5" i="209" s="1"/>
  <c r="I4" i="209"/>
  <c r="H4" i="209"/>
  <c r="I25" i="209"/>
  <c r="I24" i="209"/>
  <c r="I23" i="209"/>
  <c r="I22" i="209"/>
  <c r="I21" i="209"/>
  <c r="I20" i="209"/>
  <c r="I19" i="209"/>
  <c r="H17" i="209"/>
  <c r="I17" i="209" s="1"/>
  <c r="I16" i="209"/>
  <c r="I15" i="209"/>
  <c r="I12" i="209"/>
  <c r="I11" i="209"/>
  <c r="I8" i="209"/>
  <c r="I6" i="209"/>
  <c r="I11" i="208"/>
  <c r="I10" i="208"/>
  <c r="F19" i="208"/>
  <c r="F22" i="208"/>
  <c r="H21" i="208"/>
  <c r="I21" i="208" s="1"/>
  <c r="H16" i="208"/>
  <c r="H15" i="208"/>
  <c r="I15" i="208" s="1"/>
  <c r="H14" i="208"/>
  <c r="F13" i="208"/>
  <c r="H8" i="208"/>
  <c r="I8" i="208" s="1"/>
  <c r="H7" i="208"/>
  <c r="I7" i="208" s="1"/>
  <c r="I22" i="208"/>
  <c r="I20" i="208"/>
  <c r="I19" i="208"/>
  <c r="I17" i="208"/>
  <c r="I16" i="208"/>
  <c r="I14" i="208"/>
  <c r="I13" i="208"/>
  <c r="I12" i="208"/>
  <c r="I9" i="208"/>
  <c r="I6" i="208"/>
  <c r="I5" i="208"/>
  <c r="H14" i="206"/>
  <c r="I14" i="206" s="1"/>
  <c r="F6" i="206"/>
  <c r="I12" i="206"/>
  <c r="H22" i="206"/>
  <c r="H19" i="206"/>
  <c r="I19" i="206" s="1"/>
  <c r="H18" i="206"/>
  <c r="H17" i="206"/>
  <c r="I17" i="206" s="1"/>
  <c r="H16" i="206"/>
  <c r="H10" i="206"/>
  <c r="F10" i="206"/>
  <c r="H9" i="206"/>
  <c r="I9" i="206" s="1"/>
  <c r="H7" i="206"/>
  <c r="I7" i="206" s="1"/>
  <c r="I8" i="206"/>
  <c r="H4" i="206"/>
  <c r="I22" i="206"/>
  <c r="I21" i="206"/>
  <c r="I20" i="206"/>
  <c r="I18" i="206"/>
  <c r="I16" i="206"/>
  <c r="I15" i="206"/>
  <c r="I13" i="206"/>
  <c r="I11" i="206"/>
  <c r="I10" i="206"/>
  <c r="I6" i="206"/>
  <c r="I5" i="206"/>
  <c r="I10" i="205"/>
  <c r="I9" i="205"/>
  <c r="H14" i="205"/>
  <c r="I14" i="205" s="1"/>
  <c r="H16" i="205"/>
  <c r="I16" i="205" s="1"/>
  <c r="H19" i="205"/>
  <c r="I19" i="205" s="1"/>
  <c r="H12" i="205"/>
  <c r="I12" i="205" s="1"/>
  <c r="H15" i="205"/>
  <c r="H17" i="205"/>
  <c r="I17" i="205" s="1"/>
  <c r="H20" i="205"/>
  <c r="H18" i="205"/>
  <c r="I18" i="205" s="1"/>
  <c r="F18" i="205"/>
  <c r="H7" i="205"/>
  <c r="I7" i="205" s="1"/>
  <c r="H6" i="205"/>
  <c r="I20" i="205"/>
  <c r="I15" i="205"/>
  <c r="I13" i="205"/>
  <c r="I11" i="205"/>
  <c r="I8" i="205"/>
  <c r="I6" i="205"/>
  <c r="I5" i="205"/>
  <c r="I17" i="204"/>
  <c r="H18" i="204"/>
  <c r="F18" i="204"/>
  <c r="I10" i="204"/>
  <c r="I18" i="204"/>
  <c r="H14" i="204"/>
  <c r="H13" i="204"/>
  <c r="H12" i="204"/>
  <c r="I12" i="204" s="1"/>
  <c r="H9" i="204"/>
  <c r="H8" i="204"/>
  <c r="I6" i="204"/>
  <c r="H5" i="204"/>
  <c r="I5" i="204" s="1"/>
  <c r="F4" i="204"/>
  <c r="I16" i="204"/>
  <c r="I15" i="204"/>
  <c r="I14" i="204"/>
  <c r="I13" i="204"/>
  <c r="I11" i="204"/>
  <c r="I9" i="204"/>
  <c r="I8" i="204"/>
  <c r="I7" i="204"/>
  <c r="I4" i="204"/>
  <c r="H14" i="203"/>
  <c r="I14" i="203" s="1"/>
  <c r="H10" i="203"/>
  <c r="H8" i="203"/>
  <c r="I8" i="203"/>
  <c r="H16" i="203"/>
  <c r="I16" i="203" s="1"/>
  <c r="H15" i="203"/>
  <c r="H12" i="203"/>
  <c r="H9" i="203"/>
  <c r="I9" i="203" s="1"/>
  <c r="H7" i="203"/>
  <c r="I7" i="203" s="1"/>
  <c r="H6" i="203"/>
  <c r="H5" i="203"/>
  <c r="I15" i="203"/>
  <c r="I13" i="203"/>
  <c r="I12" i="203"/>
  <c r="I11" i="203"/>
  <c r="I10" i="203"/>
  <c r="I6" i="203"/>
  <c r="I5" i="203"/>
  <c r="I4" i="203"/>
  <c r="I16" i="202"/>
  <c r="I15" i="202"/>
  <c r="H14" i="202"/>
  <c r="I14" i="202"/>
  <c r="H13" i="202"/>
  <c r="H11" i="202"/>
  <c r="I11" i="202" s="1"/>
  <c r="H8" i="202"/>
  <c r="I8" i="202" s="1"/>
  <c r="H6" i="202"/>
  <c r="I6" i="202" s="1"/>
  <c r="H5" i="202"/>
  <c r="I5" i="202" s="1"/>
  <c r="F4" i="202"/>
  <c r="I19" i="202"/>
  <c r="I18" i="202"/>
  <c r="I17" i="202"/>
  <c r="I13" i="202"/>
  <c r="I12" i="202"/>
  <c r="I10" i="202"/>
  <c r="I9" i="202"/>
  <c r="I7" i="202"/>
  <c r="I4" i="202"/>
  <c r="F14" i="201"/>
  <c r="H12" i="201"/>
  <c r="I12" i="201" s="1"/>
  <c r="H11" i="201"/>
  <c r="H10" i="201"/>
  <c r="I10" i="201" s="1"/>
  <c r="I9" i="201"/>
  <c r="H5" i="201"/>
  <c r="I5" i="201" s="1"/>
  <c r="H15" i="201"/>
  <c r="I15" i="201" s="1"/>
  <c r="I16" i="201"/>
  <c r="I14" i="201"/>
  <c r="I13" i="201"/>
  <c r="I11" i="201"/>
  <c r="I8" i="201"/>
  <c r="I7" i="201"/>
  <c r="I6" i="201"/>
  <c r="I4" i="201"/>
  <c r="I21" i="200"/>
  <c r="I20" i="200"/>
  <c r="H19" i="200"/>
  <c r="I19" i="200" s="1"/>
  <c r="H6" i="200"/>
  <c r="I6" i="200" s="1"/>
  <c r="H5" i="200"/>
  <c r="I24" i="200"/>
  <c r="I23" i="200"/>
  <c r="I18" i="200"/>
  <c r="I17" i="200"/>
  <c r="I16" i="200"/>
  <c r="I15" i="200"/>
  <c r="I14" i="200"/>
  <c r="I13" i="200"/>
  <c r="I12" i="200"/>
  <c r="I11" i="200"/>
  <c r="I10" i="200"/>
  <c r="I9" i="200"/>
  <c r="I8" i="200"/>
  <c r="I7" i="200"/>
  <c r="I5" i="200"/>
  <c r="I4" i="200"/>
  <c r="I15" i="197"/>
  <c r="H17" i="199"/>
  <c r="H16" i="199"/>
  <c r="H15" i="199"/>
  <c r="I15" i="199" s="1"/>
  <c r="H13" i="199"/>
  <c r="H12" i="199"/>
  <c r="H9" i="199"/>
  <c r="H4" i="199"/>
  <c r="I18" i="199"/>
  <c r="I17" i="199"/>
  <c r="I16" i="199"/>
  <c r="I14" i="199"/>
  <c r="I13" i="199"/>
  <c r="I12" i="199"/>
  <c r="I11" i="199"/>
  <c r="I10" i="199"/>
  <c r="I9" i="199"/>
  <c r="I8" i="199"/>
  <c r="I7" i="199"/>
  <c r="I6" i="199"/>
  <c r="I5" i="199"/>
  <c r="I4" i="199"/>
  <c r="I10" i="197"/>
  <c r="I8" i="197"/>
  <c r="F14" i="197"/>
  <c r="H19" i="197"/>
  <c r="H16" i="197"/>
  <c r="F12" i="197"/>
  <c r="I22" i="197"/>
  <c r="I21" i="197"/>
  <c r="H20" i="197"/>
  <c r="I20" i="197" s="1"/>
  <c r="I19" i="197"/>
  <c r="I18" i="197"/>
  <c r="I17" i="197"/>
  <c r="I16" i="197"/>
  <c r="I14" i="197"/>
  <c r="I13" i="197"/>
  <c r="I12" i="197"/>
  <c r="I11" i="197"/>
  <c r="I9" i="197"/>
  <c r="I7" i="197"/>
  <c r="I6" i="197"/>
  <c r="I5" i="197"/>
  <c r="I4" i="197"/>
  <c r="I15" i="196"/>
  <c r="I7" i="196"/>
  <c r="H11" i="196"/>
  <c r="H17" i="196"/>
  <c r="H14" i="196"/>
  <c r="I14" i="196" s="1"/>
  <c r="H13" i="196"/>
  <c r="I13" i="196" s="1"/>
  <c r="H4" i="196"/>
  <c r="I19" i="196"/>
  <c r="I18" i="196"/>
  <c r="I17" i="196"/>
  <c r="I16" i="196"/>
  <c r="I12" i="196"/>
  <c r="I11" i="196"/>
  <c r="I10" i="196"/>
  <c r="I9" i="196"/>
  <c r="I8" i="196"/>
  <c r="I6" i="196"/>
  <c r="I5" i="196"/>
  <c r="I4" i="196"/>
  <c r="H17" i="195"/>
  <c r="I17" i="195" s="1"/>
  <c r="H14" i="195"/>
  <c r="I14" i="195" s="1"/>
  <c r="H13" i="195"/>
  <c r="H10" i="195"/>
  <c r="F10" i="195"/>
  <c r="H8" i="195"/>
  <c r="I16" i="195"/>
  <c r="I15" i="195"/>
  <c r="I13" i="195"/>
  <c r="I12" i="195"/>
  <c r="I11" i="195"/>
  <c r="I10" i="195"/>
  <c r="I9" i="195"/>
  <c r="I8" i="195"/>
  <c r="I7" i="195"/>
  <c r="I6" i="195"/>
  <c r="I5" i="195"/>
  <c r="I4" i="195"/>
  <c r="F19" i="194"/>
  <c r="H20" i="194"/>
  <c r="I20" i="194"/>
  <c r="F14" i="194"/>
  <c r="I19" i="194"/>
  <c r="I18" i="194"/>
  <c r="I17" i="194"/>
  <c r="F23" i="194"/>
  <c r="I16" i="194"/>
  <c r="I24" i="194"/>
  <c r="I23" i="194"/>
  <c r="I22" i="194"/>
  <c r="I21" i="194"/>
  <c r="I15" i="194"/>
  <c r="F12" i="194"/>
  <c r="F8" i="194"/>
  <c r="H28" i="194"/>
  <c r="I28" i="194" s="1"/>
  <c r="F28" i="194"/>
  <c r="H27" i="194"/>
  <c r="I27" i="194" s="1"/>
  <c r="H13" i="194"/>
  <c r="I13" i="194" s="1"/>
  <c r="H11" i="194"/>
  <c r="I11" i="194" s="1"/>
  <c r="F11" i="194"/>
  <c r="H10" i="194"/>
  <c r="I10" i="194" s="1"/>
  <c r="F10" i="194"/>
  <c r="H9" i="194"/>
  <c r="I9" i="194" s="1"/>
  <c r="F9" i="194"/>
  <c r="H6" i="194"/>
  <c r="I6" i="194" s="1"/>
  <c r="F6" i="194"/>
  <c r="H4" i="194"/>
  <c r="I4" i="194" s="1"/>
  <c r="I30" i="194"/>
  <c r="I29" i="194"/>
  <c r="I26" i="194"/>
  <c r="I25" i="194"/>
  <c r="I14" i="194"/>
  <c r="I12" i="194"/>
  <c r="I8" i="194"/>
  <c r="I7" i="194"/>
  <c r="I5" i="194"/>
  <c r="H13" i="192"/>
  <c r="I13" i="192"/>
  <c r="F12" i="192"/>
  <c r="F14" i="192"/>
  <c r="F5" i="192"/>
  <c r="H20" i="192"/>
  <c r="H17" i="192"/>
  <c r="H16" i="192"/>
  <c r="H15" i="192"/>
  <c r="H11" i="192"/>
  <c r="H7" i="192"/>
  <c r="I7" i="192"/>
  <c r="H8" i="192"/>
  <c r="H4" i="192"/>
  <c r="I20" i="192"/>
  <c r="I19" i="192"/>
  <c r="I18" i="192"/>
  <c r="I17" i="192"/>
  <c r="I16" i="192"/>
  <c r="I15" i="192"/>
  <c r="I14" i="192"/>
  <c r="I12" i="192"/>
  <c r="I11" i="192"/>
  <c r="I10" i="192"/>
  <c r="I9" i="192"/>
  <c r="I8" i="192"/>
  <c r="I6" i="192"/>
  <c r="I5" i="192"/>
  <c r="I4" i="192"/>
  <c r="H14" i="191"/>
  <c r="I14" i="191"/>
  <c r="F16" i="191"/>
  <c r="H10" i="191"/>
  <c r="I10" i="191"/>
  <c r="I8" i="191"/>
  <c r="H6" i="191"/>
  <c r="I6" i="191"/>
  <c r="H20" i="191"/>
  <c r="H19" i="191"/>
  <c r="F19" i="191"/>
  <c r="H11" i="191"/>
  <c r="H9" i="191"/>
  <c r="H4" i="191"/>
  <c r="I20" i="191"/>
  <c r="I19" i="191"/>
  <c r="I18" i="191"/>
  <c r="I17" i="191"/>
  <c r="I16" i="191"/>
  <c r="I15" i="191"/>
  <c r="I13" i="191"/>
  <c r="I12" i="191"/>
  <c r="I11" i="191"/>
  <c r="I9" i="191"/>
  <c r="I7" i="191"/>
  <c r="I5" i="191"/>
  <c r="I4" i="191"/>
  <c r="H19" i="190"/>
  <c r="H17" i="190"/>
  <c r="H16" i="190"/>
  <c r="H14" i="190"/>
  <c r="I14" i="190" s="1"/>
  <c r="H12" i="190"/>
  <c r="I12" i="190" s="1"/>
  <c r="H6" i="190"/>
  <c r="H4" i="190"/>
  <c r="I4" i="190" s="1"/>
  <c r="I19" i="190"/>
  <c r="I18" i="190"/>
  <c r="I17" i="190"/>
  <c r="I16" i="190"/>
  <c r="I15" i="190"/>
  <c r="I13" i="190"/>
  <c r="I11" i="190"/>
  <c r="I10" i="190"/>
  <c r="I9" i="190"/>
  <c r="I8" i="190"/>
  <c r="I7" i="190"/>
  <c r="I6" i="190"/>
  <c r="I5" i="190"/>
  <c r="H15" i="189"/>
  <c r="I15" i="189"/>
  <c r="I20" i="188"/>
  <c r="I18" i="189"/>
  <c r="H20" i="189"/>
  <c r="H19" i="189"/>
  <c r="I19" i="189" s="1"/>
  <c r="H16" i="189"/>
  <c r="H12" i="189"/>
  <c r="I12" i="189" s="1"/>
  <c r="H11" i="189"/>
  <c r="H10" i="189"/>
  <c r="I10" i="189" s="1"/>
  <c r="H9" i="189"/>
  <c r="H4" i="189"/>
  <c r="I20" i="189"/>
  <c r="I17" i="189"/>
  <c r="I16" i="189"/>
  <c r="I14" i="189"/>
  <c r="I13" i="189"/>
  <c r="I11" i="189"/>
  <c r="I9" i="189"/>
  <c r="I8" i="189"/>
  <c r="I7" i="189"/>
  <c r="I6" i="189"/>
  <c r="I5" i="189"/>
  <c r="I4" i="189"/>
  <c r="I18" i="188"/>
  <c r="H25" i="188"/>
  <c r="H24" i="188"/>
  <c r="I24" i="188" s="1"/>
  <c r="H23" i="188"/>
  <c r="H14" i="188"/>
  <c r="I14" i="188" s="1"/>
  <c r="H11" i="188"/>
  <c r="H8" i="188"/>
  <c r="I8" i="188" s="1"/>
  <c r="H7" i="188"/>
  <c r="H5" i="188"/>
  <c r="H4" i="188"/>
  <c r="I25" i="188"/>
  <c r="I23" i="188"/>
  <c r="I22" i="188"/>
  <c r="I21" i="188"/>
  <c r="I19" i="188"/>
  <c r="I17" i="188"/>
  <c r="I16" i="188"/>
  <c r="H15" i="188"/>
  <c r="I15" i="188" s="1"/>
  <c r="I13" i="188"/>
  <c r="I12" i="188"/>
  <c r="I11" i="188"/>
  <c r="I10" i="188"/>
  <c r="I9" i="188"/>
  <c r="I7" i="188"/>
  <c r="I6" i="188"/>
  <c r="I5" i="188"/>
  <c r="I4" i="188"/>
  <c r="I17" i="187"/>
  <c r="H16" i="187"/>
  <c r="I16" i="187" s="1"/>
  <c r="H15" i="187"/>
  <c r="I15" i="187"/>
  <c r="I14" i="187"/>
  <c r="I19" i="187"/>
  <c r="I18" i="187"/>
  <c r="F22" i="187"/>
  <c r="H23" i="187"/>
  <c r="I23" i="187" s="1"/>
  <c r="H21" i="187"/>
  <c r="H13" i="187"/>
  <c r="F13" i="187"/>
  <c r="H11" i="187"/>
  <c r="I11" i="187"/>
  <c r="H9" i="187"/>
  <c r="I9" i="187" s="1"/>
  <c r="H7" i="187"/>
  <c r="H4" i="187"/>
  <c r="I22" i="187"/>
  <c r="I21" i="187"/>
  <c r="I20" i="187"/>
  <c r="I13" i="187"/>
  <c r="I12" i="187"/>
  <c r="I10" i="187"/>
  <c r="I8" i="187"/>
  <c r="I7" i="187"/>
  <c r="I6" i="187"/>
  <c r="I5" i="187"/>
  <c r="I4" i="187"/>
  <c r="H16" i="186"/>
  <c r="F16" i="186"/>
  <c r="I16" i="186"/>
  <c r="H15" i="186"/>
  <c r="I15" i="186" s="1"/>
  <c r="H8" i="186"/>
  <c r="I8" i="186" s="1"/>
  <c r="F5" i="186"/>
  <c r="H4" i="186"/>
  <c r="F4" i="186"/>
  <c r="H17" i="186"/>
  <c r="H14" i="186"/>
  <c r="H13" i="186"/>
  <c r="F13" i="186"/>
  <c r="H9" i="186"/>
  <c r="F9" i="186"/>
  <c r="I17" i="186"/>
  <c r="I14" i="186"/>
  <c r="I13" i="186"/>
  <c r="I12" i="186"/>
  <c r="I11" i="186"/>
  <c r="I10" i="186"/>
  <c r="I9" i="186"/>
  <c r="I7" i="186"/>
  <c r="I6" i="186"/>
  <c r="I5" i="186"/>
  <c r="I4" i="186"/>
  <c r="H19" i="185"/>
  <c r="H16" i="185"/>
  <c r="H14" i="185"/>
  <c r="H9" i="185"/>
  <c r="I19" i="185"/>
  <c r="I18" i="185"/>
  <c r="I17" i="185"/>
  <c r="I16" i="185"/>
  <c r="I15" i="185"/>
  <c r="I14" i="185"/>
  <c r="I13" i="185"/>
  <c r="I12" i="185"/>
  <c r="I11" i="185"/>
  <c r="I10" i="185"/>
  <c r="I9" i="185"/>
  <c r="I8" i="185"/>
  <c r="I7" i="185"/>
  <c r="I6" i="185"/>
  <c r="I5" i="185"/>
  <c r="I4" i="185"/>
  <c r="I21" i="184"/>
  <c r="I20" i="184"/>
  <c r="H20" i="184"/>
  <c r="I19" i="184"/>
  <c r="I18" i="184"/>
  <c r="I17" i="184"/>
  <c r="H17" i="184"/>
  <c r="I16" i="184"/>
  <c r="H15" i="184"/>
  <c r="I15" i="184" s="1"/>
  <c r="I14" i="184"/>
  <c r="I13" i="184"/>
  <c r="I12" i="184"/>
  <c r="I11" i="184"/>
  <c r="H10" i="184"/>
  <c r="I10" i="184" s="1"/>
  <c r="I9" i="184"/>
  <c r="I8" i="184"/>
  <c r="H8" i="184"/>
  <c r="I7" i="184"/>
  <c r="H6" i="184"/>
  <c r="I6" i="184" s="1"/>
  <c r="I5" i="184"/>
  <c r="I4" i="184"/>
  <c r="F4" i="184"/>
  <c r="I12" i="183"/>
  <c r="I13" i="183"/>
  <c r="I18" i="183"/>
  <c r="H10" i="183"/>
  <c r="I10" i="183" s="1"/>
  <c r="H20" i="183"/>
  <c r="I20" i="183" s="1"/>
  <c r="H17" i="183"/>
  <c r="H15" i="183"/>
  <c r="I15" i="183" s="1"/>
  <c r="H8" i="183"/>
  <c r="I8" i="183" s="1"/>
  <c r="H6" i="183"/>
  <c r="I6" i="183" s="1"/>
  <c r="F4" i="183"/>
  <c r="I21" i="183"/>
  <c r="I19" i="183"/>
  <c r="I17" i="183"/>
  <c r="I16" i="183"/>
  <c r="I14" i="183"/>
  <c r="I11" i="183"/>
  <c r="I9" i="183"/>
  <c r="I7" i="183"/>
  <c r="I5" i="183"/>
  <c r="I4" i="183"/>
  <c r="H16" i="182"/>
  <c r="I16" i="182" s="1"/>
  <c r="I17" i="182"/>
  <c r="I18" i="182"/>
  <c r="I15" i="182"/>
  <c r="H5" i="182"/>
  <c r="F5" i="182"/>
  <c r="H14" i="182"/>
  <c r="H13" i="182"/>
  <c r="H11" i="182"/>
  <c r="H6" i="182"/>
  <c r="H4" i="182"/>
  <c r="I19" i="182"/>
  <c r="I14" i="182"/>
  <c r="I13" i="182"/>
  <c r="I12" i="182"/>
  <c r="I11" i="182"/>
  <c r="I10" i="182"/>
  <c r="I9" i="182"/>
  <c r="I8" i="182"/>
  <c r="I7" i="182"/>
  <c r="I6" i="182"/>
  <c r="I5" i="182"/>
  <c r="I4" i="182"/>
  <c r="I8" i="181"/>
  <c r="H15" i="181"/>
  <c r="I15" i="181" s="1"/>
  <c r="H13" i="181"/>
  <c r="I13" i="181" s="1"/>
  <c r="I11" i="181"/>
  <c r="H10" i="181"/>
  <c r="I10" i="181" s="1"/>
  <c r="F9" i="181"/>
  <c r="H7" i="181"/>
  <c r="I7" i="181" s="1"/>
  <c r="H6" i="181"/>
  <c r="I14" i="181"/>
  <c r="I12" i="181"/>
  <c r="I9" i="181"/>
  <c r="I6" i="181"/>
  <c r="I5" i="181"/>
  <c r="I4" i="181"/>
  <c r="H5" i="180"/>
  <c r="I17" i="179"/>
  <c r="H10" i="180"/>
  <c r="I10" i="180"/>
  <c r="H14" i="180"/>
  <c r="H12" i="180"/>
  <c r="I12" i="180" s="1"/>
  <c r="H8" i="180"/>
  <c r="H6" i="180"/>
  <c r="I6" i="180" s="1"/>
  <c r="H4" i="180"/>
  <c r="I4" i="180" s="1"/>
  <c r="I14" i="180"/>
  <c r="I13" i="180"/>
  <c r="I11" i="180"/>
  <c r="I9" i="180"/>
  <c r="I8" i="180"/>
  <c r="I7" i="180"/>
  <c r="I5" i="180"/>
  <c r="H14" i="179"/>
  <c r="I14" i="179" s="1"/>
  <c r="H18" i="179"/>
  <c r="I18" i="179" s="1"/>
  <c r="H11" i="179"/>
  <c r="I11" i="179" s="1"/>
  <c r="H10" i="179"/>
  <c r="I10" i="179" s="1"/>
  <c r="H5" i="179"/>
  <c r="I5" i="179" s="1"/>
  <c r="H19" i="179"/>
  <c r="H16" i="179"/>
  <c r="H13" i="179"/>
  <c r="I13" i="179" s="1"/>
  <c r="H9" i="179"/>
  <c r="I9" i="179" s="1"/>
  <c r="H7" i="179"/>
  <c r="H6" i="179"/>
  <c r="I19" i="179"/>
  <c r="I16" i="179"/>
  <c r="I15" i="179"/>
  <c r="I12" i="179"/>
  <c r="I8" i="179"/>
  <c r="I7" i="179"/>
  <c r="I6" i="179"/>
  <c r="I4" i="179"/>
  <c r="F11" i="178"/>
  <c r="H20" i="178"/>
  <c r="H15" i="178"/>
  <c r="H14" i="178"/>
  <c r="H13" i="178"/>
  <c r="F13" i="178"/>
  <c r="H10" i="178"/>
  <c r="I20" i="178"/>
  <c r="I19" i="178"/>
  <c r="I18" i="178"/>
  <c r="I17" i="178"/>
  <c r="I16" i="178"/>
  <c r="I15" i="178"/>
  <c r="I14" i="178"/>
  <c r="I13" i="178"/>
  <c r="I12" i="178"/>
  <c r="I11" i="178"/>
  <c r="I10" i="178"/>
  <c r="I9" i="178"/>
  <c r="I8" i="178"/>
  <c r="I7" i="178"/>
  <c r="I6" i="178"/>
  <c r="I5" i="178"/>
  <c r="I4" i="178"/>
  <c r="H19" i="177"/>
  <c r="I19" i="177"/>
  <c r="I17" i="177"/>
  <c r="F13" i="177"/>
  <c r="I7" i="177"/>
  <c r="H8" i="177"/>
  <c r="I8" i="177"/>
  <c r="H6" i="177"/>
  <c r="I6" i="177"/>
  <c r="F10" i="177"/>
  <c r="H21" i="177"/>
  <c r="H20" i="177"/>
  <c r="H15" i="177"/>
  <c r="I15" i="177" s="1"/>
  <c r="H11" i="177"/>
  <c r="H9" i="177"/>
  <c r="I9" i="177" s="1"/>
  <c r="H4" i="177"/>
  <c r="I4" i="177" s="1"/>
  <c r="I21" i="177"/>
  <c r="I20" i="177"/>
  <c r="I18" i="177"/>
  <c r="I16" i="177"/>
  <c r="I14" i="177"/>
  <c r="I13" i="177"/>
  <c r="I12" i="177"/>
  <c r="I11" i="177"/>
  <c r="I10" i="177"/>
  <c r="I5" i="177"/>
  <c r="H12" i="176"/>
  <c r="I12" i="176"/>
  <c r="H15" i="176"/>
  <c r="I15" i="176" s="1"/>
  <c r="H20" i="176"/>
  <c r="H18" i="176"/>
  <c r="H14" i="176"/>
  <c r="I14" i="176" s="1"/>
  <c r="H10" i="176"/>
  <c r="H7" i="176"/>
  <c r="I7" i="176" s="1"/>
  <c r="H4" i="176"/>
  <c r="I20" i="176"/>
  <c r="I19" i="176"/>
  <c r="I18" i="176"/>
  <c r="I17" i="176"/>
  <c r="I16" i="176"/>
  <c r="I13" i="176"/>
  <c r="I11" i="176"/>
  <c r="I10" i="176"/>
  <c r="I9" i="176"/>
  <c r="I8" i="176"/>
  <c r="I6" i="176"/>
  <c r="I5" i="176"/>
  <c r="I4" i="176"/>
  <c r="H19" i="175"/>
  <c r="H12" i="175"/>
  <c r="H9" i="175"/>
  <c r="H7" i="175"/>
  <c r="I7" i="175" s="1"/>
  <c r="I19" i="175"/>
  <c r="I18" i="175"/>
  <c r="I17" i="175"/>
  <c r="I16" i="175"/>
  <c r="I15" i="175"/>
  <c r="I14" i="175"/>
  <c r="I13" i="175"/>
  <c r="I12" i="175"/>
  <c r="I11" i="175"/>
  <c r="I10" i="175"/>
  <c r="I9" i="175"/>
  <c r="I8" i="175"/>
  <c r="I6" i="175"/>
  <c r="I5" i="175"/>
  <c r="I4" i="175"/>
  <c r="I18" i="174"/>
  <c r="F5" i="174"/>
  <c r="H9" i="174"/>
  <c r="I9" i="174" s="1"/>
  <c r="H22" i="174"/>
  <c r="I22" i="174" s="1"/>
  <c r="F23" i="174"/>
  <c r="H21" i="174"/>
  <c r="H15" i="174"/>
  <c r="H13" i="174"/>
  <c r="H7" i="174"/>
  <c r="H6" i="174"/>
  <c r="H4" i="174"/>
  <c r="I23" i="174"/>
  <c r="I21" i="174"/>
  <c r="I20" i="174"/>
  <c r="I19" i="174"/>
  <c r="I17" i="174"/>
  <c r="I16" i="174"/>
  <c r="I15" i="174"/>
  <c r="I14" i="174"/>
  <c r="I13" i="174"/>
  <c r="I12" i="174"/>
  <c r="I11" i="174"/>
  <c r="I10" i="174"/>
  <c r="I8" i="174"/>
  <c r="I7" i="174"/>
  <c r="I6" i="174"/>
  <c r="I5" i="174"/>
  <c r="I4" i="174"/>
  <c r="H22" i="173"/>
  <c r="I22" i="173" s="1"/>
  <c r="H18" i="173"/>
  <c r="I18" i="173" s="1"/>
  <c r="H17" i="173"/>
  <c r="I17" i="173" s="1"/>
  <c r="H14" i="173"/>
  <c r="I14" i="173" s="1"/>
  <c r="H13" i="173"/>
  <c r="I13" i="173" s="1"/>
  <c r="H12" i="173"/>
  <c r="I12" i="173" s="1"/>
  <c r="H10" i="173"/>
  <c r="H7" i="173"/>
  <c r="I7" i="173" s="1"/>
  <c r="H6" i="173"/>
  <c r="I6" i="173" s="1"/>
  <c r="F6" i="173"/>
  <c r="H5" i="173"/>
  <c r="I21" i="173"/>
  <c r="I20" i="173"/>
  <c r="I19" i="173"/>
  <c r="I16" i="173"/>
  <c r="I15" i="173"/>
  <c r="I11" i="173"/>
  <c r="I10" i="173"/>
  <c r="I9" i="173"/>
  <c r="I8" i="173"/>
  <c r="I5" i="173"/>
  <c r="I4" i="173"/>
  <c r="I24" i="171"/>
  <c r="H17" i="172"/>
  <c r="F17" i="172"/>
  <c r="I24" i="172"/>
  <c r="H18" i="172"/>
  <c r="I18" i="172" s="1"/>
  <c r="H25" i="172"/>
  <c r="I25" i="172" s="1"/>
  <c r="H6" i="172"/>
  <c r="F6" i="172"/>
  <c r="I6" i="172"/>
  <c r="H23" i="172"/>
  <c r="I23" i="172" s="1"/>
  <c r="H21" i="172"/>
  <c r="I21" i="172" s="1"/>
  <c r="H19" i="172"/>
  <c r="I19" i="172" s="1"/>
  <c r="H14" i="172"/>
  <c r="I14" i="172" s="1"/>
  <c r="H11" i="172"/>
  <c r="I11" i="172" s="1"/>
  <c r="H9" i="172"/>
  <c r="I9" i="172" s="1"/>
  <c r="H4" i="172"/>
  <c r="I4" i="172" s="1"/>
  <c r="I26" i="172"/>
  <c r="I22" i="172"/>
  <c r="I20" i="172"/>
  <c r="I17" i="172"/>
  <c r="I16" i="172"/>
  <c r="I15" i="172"/>
  <c r="I13" i="172"/>
  <c r="I12" i="172"/>
  <c r="I10" i="172"/>
  <c r="I8" i="172"/>
  <c r="I7" i="172"/>
  <c r="I5" i="172"/>
  <c r="H25" i="171"/>
  <c r="I25" i="171" s="1"/>
  <c r="I23" i="171"/>
  <c r="I17" i="171"/>
  <c r="I7" i="171"/>
  <c r="H22" i="171"/>
  <c r="I22" i="171" s="1"/>
  <c r="H19" i="171"/>
  <c r="I19" i="171" s="1"/>
  <c r="H18" i="171"/>
  <c r="I18" i="171" s="1"/>
  <c r="H16" i="171"/>
  <c r="H12" i="171"/>
  <c r="H11" i="171"/>
  <c r="I11" i="171" s="1"/>
  <c r="H9" i="171"/>
  <c r="I9" i="171" s="1"/>
  <c r="H6" i="171"/>
  <c r="H5" i="171"/>
  <c r="H4" i="171"/>
  <c r="I27" i="171"/>
  <c r="I26" i="171"/>
  <c r="I21" i="171"/>
  <c r="I20" i="171"/>
  <c r="I16" i="171"/>
  <c r="I15" i="171"/>
  <c r="I14" i="171"/>
  <c r="I13" i="171"/>
  <c r="I12" i="171"/>
  <c r="I10" i="171"/>
  <c r="I8" i="171"/>
  <c r="I6" i="171"/>
  <c r="I5" i="171"/>
  <c r="I4" i="171"/>
  <c r="I20" i="170"/>
  <c r="I19" i="170"/>
  <c r="I18" i="170"/>
  <c r="I17" i="170"/>
  <c r="H16" i="170"/>
  <c r="H14" i="170"/>
  <c r="I14" i="170" s="1"/>
  <c r="H7" i="170"/>
  <c r="I7" i="170" s="1"/>
  <c r="F7" i="170"/>
  <c r="I10" i="170"/>
  <c r="H24" i="170"/>
  <c r="H23" i="170"/>
  <c r="H22" i="170"/>
  <c r="H21" i="170"/>
  <c r="H6" i="170"/>
  <c r="I6" i="170" s="1"/>
  <c r="H4" i="170"/>
  <c r="I24" i="170"/>
  <c r="I23" i="170"/>
  <c r="I22" i="170"/>
  <c r="I21" i="170"/>
  <c r="I16" i="170"/>
  <c r="I15" i="170"/>
  <c r="H13" i="170"/>
  <c r="I13" i="170" s="1"/>
  <c r="I12" i="170"/>
  <c r="I11" i="170"/>
  <c r="I9" i="170"/>
  <c r="I8" i="170"/>
  <c r="I5" i="170"/>
  <c r="I4" i="170"/>
  <c r="H15" i="169"/>
  <c r="I15" i="169"/>
  <c r="H18" i="169"/>
  <c r="F18" i="169"/>
  <c r="H16" i="169"/>
  <c r="H14" i="169"/>
  <c r="I14" i="169" s="1"/>
  <c r="H13" i="169"/>
  <c r="H11" i="169"/>
  <c r="I11" i="169" s="1"/>
  <c r="H10" i="169"/>
  <c r="H9" i="169"/>
  <c r="I9" i="169" s="1"/>
  <c r="F8" i="169"/>
  <c r="I20" i="169"/>
  <c r="I19" i="169"/>
  <c r="I18" i="169"/>
  <c r="I17" i="169"/>
  <c r="I16" i="169"/>
  <c r="I13" i="169"/>
  <c r="I12" i="169"/>
  <c r="I10" i="169"/>
  <c r="I8" i="169"/>
  <c r="I7" i="169"/>
  <c r="I6" i="169"/>
  <c r="I5" i="169"/>
  <c r="I4" i="169"/>
  <c r="H17" i="168" l="1"/>
  <c r="I17" i="168" s="1"/>
  <c r="I25" i="168"/>
  <c r="F23" i="168"/>
  <c r="H13" i="168"/>
  <c r="I13" i="168" s="1"/>
  <c r="F9" i="168"/>
  <c r="H22" i="168"/>
  <c r="H20" i="168"/>
  <c r="H16" i="168"/>
  <c r="H14" i="168"/>
  <c r="I14" i="168" s="1"/>
  <c r="H12" i="168"/>
  <c r="H11" i="168"/>
  <c r="F11" i="168"/>
  <c r="H10" i="168"/>
  <c r="I10" i="168" s="1"/>
  <c r="H7" i="168"/>
  <c r="H5" i="168"/>
  <c r="H4" i="168"/>
  <c r="I24" i="168"/>
  <c r="I23" i="168"/>
  <c r="I22" i="168"/>
  <c r="I21" i="168"/>
  <c r="I20" i="168"/>
  <c r="I19" i="168"/>
  <c r="I18" i="168"/>
  <c r="I16" i="168"/>
  <c r="I15" i="168"/>
  <c r="I12" i="168"/>
  <c r="I11" i="168"/>
  <c r="I9" i="168"/>
  <c r="I8" i="168"/>
  <c r="I7" i="168"/>
  <c r="I6" i="168"/>
  <c r="I5" i="168"/>
  <c r="I4" i="168"/>
  <c r="H23" i="167"/>
  <c r="I23" i="167" s="1"/>
  <c r="H12" i="167"/>
  <c r="H15" i="167"/>
  <c r="I15" i="167" s="1"/>
  <c r="H10" i="167"/>
  <c r="F10" i="167"/>
  <c r="F8" i="167"/>
  <c r="F7" i="167"/>
  <c r="H17" i="167"/>
  <c r="F17" i="167"/>
  <c r="H16" i="167"/>
  <c r="I16" i="167" s="1"/>
  <c r="F16" i="167"/>
  <c r="H22" i="167"/>
  <c r="I22" i="167" s="1"/>
  <c r="H19" i="167"/>
  <c r="H18" i="167"/>
  <c r="I18" i="167" s="1"/>
  <c r="H21" i="167"/>
  <c r="H6" i="167"/>
  <c r="H5" i="167"/>
  <c r="H4" i="167"/>
  <c r="I21" i="167"/>
  <c r="I20" i="167"/>
  <c r="I19" i="167"/>
  <c r="I17" i="167"/>
  <c r="I14" i="167"/>
  <c r="I13" i="167"/>
  <c r="I12" i="167"/>
  <c r="I11" i="167"/>
  <c r="I10" i="167"/>
  <c r="I9" i="167"/>
  <c r="I8" i="167"/>
  <c r="I7" i="167"/>
  <c r="I6" i="167"/>
  <c r="I5" i="167"/>
  <c r="I4" i="167"/>
  <c r="I22" i="166"/>
  <c r="I29" i="166"/>
  <c r="I28" i="166"/>
  <c r="I27" i="166"/>
  <c r="I26" i="166"/>
  <c r="I25" i="166"/>
  <c r="I24" i="166"/>
  <c r="I23" i="166"/>
  <c r="H18" i="166"/>
  <c r="I18" i="166" s="1"/>
  <c r="H10" i="166"/>
  <c r="I10" i="166" s="1"/>
  <c r="H6" i="166"/>
  <c r="I6" i="166" s="1"/>
  <c r="H20" i="166"/>
  <c r="I20" i="166" s="1"/>
  <c r="H17" i="166"/>
  <c r="I17" i="166" s="1"/>
  <c r="H15" i="166"/>
  <c r="I15" i="166" s="1"/>
  <c r="H14" i="166"/>
  <c r="I14" i="166" s="1"/>
  <c r="H13" i="166"/>
  <c r="I13" i="166" s="1"/>
  <c r="H4" i="166"/>
  <c r="I4" i="166" s="1"/>
  <c r="H11" i="166"/>
  <c r="I11" i="166" s="1"/>
  <c r="H9" i="166"/>
  <c r="I9" i="166" s="1"/>
  <c r="H8" i="166"/>
  <c r="I8" i="166" s="1"/>
  <c r="H7" i="166"/>
  <c r="I7" i="166" s="1"/>
  <c r="H5" i="166"/>
  <c r="I5" i="166" s="1"/>
  <c r="I30" i="166"/>
  <c r="I21" i="166"/>
  <c r="I19" i="166"/>
  <c r="I16" i="166"/>
  <c r="I12" i="166"/>
  <c r="F7" i="165"/>
  <c r="H4" i="165"/>
  <c r="H17" i="165"/>
  <c r="H12" i="165"/>
  <c r="I12" i="165" s="1"/>
  <c r="H11" i="165"/>
  <c r="H10" i="165"/>
  <c r="H9" i="165"/>
  <c r="H8" i="165"/>
  <c r="I20" i="165"/>
  <c r="I19" i="165"/>
  <c r="I18" i="165"/>
  <c r="I17" i="165"/>
  <c r="I16" i="165"/>
  <c r="I15" i="165"/>
  <c r="I14" i="165"/>
  <c r="I13" i="165"/>
  <c r="I11" i="165"/>
  <c r="I10" i="165"/>
  <c r="I9" i="165"/>
  <c r="I8" i="165"/>
  <c r="I7" i="165"/>
  <c r="I6" i="165"/>
  <c r="I5" i="165"/>
  <c r="I4" i="165"/>
  <c r="F14" i="164"/>
  <c r="F5" i="164"/>
  <c r="H23" i="164"/>
  <c r="I23" i="164" s="1"/>
  <c r="H22" i="164"/>
  <c r="H21" i="164"/>
  <c r="H19" i="164"/>
  <c r="I19" i="164" s="1"/>
  <c r="H16" i="164"/>
  <c r="H13" i="164"/>
  <c r="I13" i="164" s="1"/>
  <c r="H11" i="164"/>
  <c r="H10" i="164"/>
  <c r="I10" i="164" s="1"/>
  <c r="H9" i="164"/>
  <c r="H8" i="164"/>
  <c r="I8" i="164" s="1"/>
  <c r="H6" i="164"/>
  <c r="H7" i="164"/>
  <c r="I7" i="164" s="1"/>
  <c r="H15" i="163"/>
  <c r="I15" i="163" s="1"/>
  <c r="I22" i="164"/>
  <c r="I21" i="164"/>
  <c r="I20" i="164"/>
  <c r="I18" i="164"/>
  <c r="I17" i="164"/>
  <c r="I16" i="164"/>
  <c r="I15" i="164"/>
  <c r="I14" i="164"/>
  <c r="I12" i="164"/>
  <c r="I11" i="164"/>
  <c r="I9" i="164"/>
  <c r="I6" i="164"/>
  <c r="I5" i="164"/>
  <c r="I4" i="164"/>
  <c r="I13" i="163"/>
  <c r="I12" i="163"/>
  <c r="F12" i="163"/>
  <c r="H11" i="163"/>
  <c r="I11" i="163" s="1"/>
  <c r="I9" i="163"/>
  <c r="H18" i="163"/>
  <c r="I18" i="163" s="1"/>
  <c r="I28" i="163"/>
  <c r="H26" i="163"/>
  <c r="I26" i="163" s="1"/>
  <c r="H27" i="163"/>
  <c r="I27" i="163" s="1"/>
  <c r="H22" i="163"/>
  <c r="I22" i="163" s="1"/>
  <c r="F22" i="163"/>
  <c r="H19" i="163"/>
  <c r="I19" i="163" s="1"/>
  <c r="H17" i="163"/>
  <c r="I17" i="163" s="1"/>
  <c r="H16" i="163"/>
  <c r="H8" i="163"/>
  <c r="I8" i="163" s="1"/>
  <c r="F8" i="163"/>
  <c r="H6" i="163"/>
  <c r="I6" i="163" s="1"/>
  <c r="H5" i="163"/>
  <c r="I5" i="163" s="1"/>
  <c r="F5" i="163"/>
  <c r="H29" i="163"/>
  <c r="I29" i="163" s="1"/>
  <c r="I25" i="163"/>
  <c r="I24" i="163"/>
  <c r="I23" i="163"/>
  <c r="I21" i="163"/>
  <c r="I20" i="163"/>
  <c r="I16" i="163"/>
  <c r="I14" i="163"/>
  <c r="I10" i="163"/>
  <c r="I7" i="163"/>
  <c r="H4" i="163"/>
  <c r="I4" i="163" s="1"/>
  <c r="H8" i="162"/>
  <c r="I8" i="162"/>
  <c r="I16" i="162"/>
  <c r="H19" i="162"/>
  <c r="F19" i="162"/>
  <c r="H5" i="162"/>
  <c r="I5" i="162"/>
  <c r="H24" i="162"/>
  <c r="I24" i="162" s="1"/>
  <c r="H15" i="162"/>
  <c r="F15" i="162"/>
  <c r="H13" i="162"/>
  <c r="H4" i="162"/>
  <c r="I23" i="162"/>
  <c r="I22" i="162"/>
  <c r="H21" i="162"/>
  <c r="I21" i="162" s="1"/>
  <c r="I20" i="162"/>
  <c r="I19" i="162"/>
  <c r="I18" i="162"/>
  <c r="I17" i="162"/>
  <c r="I15" i="162"/>
  <c r="I14" i="162"/>
  <c r="I13" i="162"/>
  <c r="I12" i="162"/>
  <c r="I11" i="162"/>
  <c r="I10" i="162"/>
  <c r="I9" i="162"/>
  <c r="I7" i="162"/>
  <c r="I6" i="162"/>
  <c r="I4" i="162"/>
  <c r="I23" i="161"/>
  <c r="H5" i="161"/>
  <c r="F5" i="161"/>
  <c r="H24" i="161"/>
  <c r="I24" i="161" s="1"/>
  <c r="H21" i="161"/>
  <c r="I21" i="161" s="1"/>
  <c r="H19" i="161"/>
  <c r="H18" i="161"/>
  <c r="I18" i="161" s="1"/>
  <c r="H14" i="161"/>
  <c r="H12" i="161"/>
  <c r="I12" i="161" s="1"/>
  <c r="H9" i="161"/>
  <c r="H8" i="161"/>
  <c r="I8" i="161" s="1"/>
  <c r="F8" i="161"/>
  <c r="I5" i="161"/>
  <c r="I4" i="161"/>
  <c r="I22" i="161"/>
  <c r="I20" i="161"/>
  <c r="I19" i="161"/>
  <c r="I17" i="161"/>
  <c r="I16" i="161"/>
  <c r="I15" i="161"/>
  <c r="I14" i="161"/>
  <c r="I13" i="161"/>
  <c r="I11" i="161"/>
  <c r="I10" i="161"/>
  <c r="I9" i="161"/>
  <c r="I7" i="161"/>
  <c r="I6" i="161"/>
  <c r="I20" i="160"/>
  <c r="I19" i="160"/>
  <c r="I18" i="160"/>
  <c r="I17" i="160"/>
  <c r="H16" i="160"/>
  <c r="I16" i="160" s="1"/>
  <c r="I15" i="160"/>
  <c r="H21" i="160"/>
  <c r="H12" i="160"/>
  <c r="H10" i="160"/>
  <c r="H9" i="160"/>
  <c r="I9" i="160" s="1"/>
  <c r="H8" i="160"/>
  <c r="H7" i="160"/>
  <c r="H4" i="160"/>
  <c r="I22" i="160"/>
  <c r="I21" i="160"/>
  <c r="I14" i="160"/>
  <c r="H13" i="160"/>
  <c r="I13" i="160" s="1"/>
  <c r="I12" i="160"/>
  <c r="I11" i="160"/>
  <c r="I10" i="160"/>
  <c r="I8" i="160"/>
  <c r="I7" i="160"/>
  <c r="I6" i="160"/>
  <c r="I5" i="160"/>
  <c r="I4" i="160"/>
  <c r="H15" i="159"/>
  <c r="H10" i="159"/>
  <c r="I10" i="159" s="1"/>
  <c r="H12" i="159"/>
  <c r="H13" i="159"/>
  <c r="I13" i="159" s="1"/>
  <c r="H14" i="159"/>
  <c r="H11" i="159"/>
  <c r="I11" i="159" s="1"/>
  <c r="H9" i="159"/>
  <c r="I9" i="159" s="1"/>
  <c r="H7" i="159"/>
  <c r="I7" i="159" s="1"/>
  <c r="H5" i="159"/>
  <c r="H4" i="159"/>
  <c r="I4" i="159" s="1"/>
  <c r="F4" i="159"/>
  <c r="I16" i="159"/>
  <c r="I15" i="159"/>
  <c r="I14" i="159"/>
  <c r="I12" i="159"/>
  <c r="I8" i="159"/>
  <c r="I6" i="159"/>
  <c r="I5" i="159"/>
  <c r="F18" i="158"/>
  <c r="H11" i="158"/>
  <c r="I11" i="158" s="1"/>
  <c r="F11" i="158"/>
  <c r="H14" i="158"/>
  <c r="I14" i="158" s="1"/>
  <c r="F14" i="158"/>
  <c r="H16" i="158"/>
  <c r="I16" i="158" s="1"/>
  <c r="H15" i="158"/>
  <c r="I15" i="158" s="1"/>
  <c r="H13" i="158"/>
  <c r="I13" i="158" s="1"/>
  <c r="H10" i="158"/>
  <c r="H9" i="158"/>
  <c r="I9" i="158" s="1"/>
  <c r="H8" i="158"/>
  <c r="F8" i="158"/>
  <c r="H4" i="158"/>
  <c r="F4" i="158"/>
  <c r="I18" i="158"/>
  <c r="I17" i="158"/>
  <c r="I12" i="158"/>
  <c r="I10" i="158"/>
  <c r="I8" i="158"/>
  <c r="I7" i="158"/>
  <c r="I6" i="158"/>
  <c r="I5" i="158"/>
  <c r="I4" i="158"/>
  <c r="F14" i="157"/>
  <c r="H18" i="157"/>
  <c r="H13" i="157"/>
  <c r="H7" i="157"/>
  <c r="H12" i="157"/>
  <c r="H10" i="157"/>
  <c r="H6" i="157"/>
  <c r="H5" i="157"/>
  <c r="H4" i="157"/>
  <c r="I4" i="157" s="1"/>
  <c r="I19" i="157"/>
  <c r="I18" i="157"/>
  <c r="I17" i="157"/>
  <c r="I16" i="157"/>
  <c r="I15" i="157"/>
  <c r="I14" i="157"/>
  <c r="I13" i="157"/>
  <c r="I12" i="157"/>
  <c r="I11" i="157"/>
  <c r="I10" i="157"/>
  <c r="I9" i="157"/>
  <c r="I8" i="157"/>
  <c r="I7" i="157"/>
  <c r="I6" i="157"/>
  <c r="I5" i="157"/>
  <c r="H14" i="156"/>
  <c r="H18" i="156"/>
  <c r="I18" i="156" s="1"/>
  <c r="H13" i="156"/>
  <c r="F13" i="156"/>
  <c r="H10" i="156"/>
  <c r="H6" i="156"/>
  <c r="I6" i="156" s="1"/>
  <c r="I19" i="156"/>
  <c r="I17" i="156"/>
  <c r="I16" i="156"/>
  <c r="I15" i="156"/>
  <c r="I14" i="156"/>
  <c r="I13" i="156"/>
  <c r="I12" i="156"/>
  <c r="I11" i="156"/>
  <c r="I10" i="156"/>
  <c r="I9" i="156"/>
  <c r="I8" i="156"/>
  <c r="I7" i="156"/>
  <c r="I5" i="156"/>
  <c r="I4" i="156"/>
  <c r="H10" i="155"/>
  <c r="F6" i="155"/>
  <c r="H11" i="155"/>
  <c r="F11" i="155"/>
  <c r="F13" i="155"/>
  <c r="H15" i="155"/>
  <c r="F15" i="155"/>
  <c r="H20" i="155"/>
  <c r="H18" i="155"/>
  <c r="I18" i="155" s="1"/>
  <c r="H14" i="155"/>
  <c r="I10" i="155"/>
  <c r="H7" i="155"/>
  <c r="H4" i="155"/>
  <c r="I20" i="155"/>
  <c r="I19" i="155"/>
  <c r="I17" i="155"/>
  <c r="I16" i="155"/>
  <c r="I15" i="155"/>
  <c r="I14" i="155"/>
  <c r="I13" i="155"/>
  <c r="I12" i="155"/>
  <c r="I11" i="155"/>
  <c r="I9" i="155"/>
  <c r="I8" i="155"/>
  <c r="I7" i="155"/>
  <c r="I6" i="155"/>
  <c r="I5" i="155"/>
  <c r="I4" i="155"/>
  <c r="I9" i="154"/>
  <c r="I10" i="154"/>
  <c r="I8" i="154"/>
  <c r="F8" i="154"/>
  <c r="H22" i="154"/>
  <c r="H19" i="154"/>
  <c r="H18" i="154"/>
  <c r="H17" i="154"/>
  <c r="H12" i="154"/>
  <c r="H5" i="154"/>
  <c r="I5" i="154" s="1"/>
  <c r="H4" i="154"/>
  <c r="F4" i="154"/>
  <c r="I22" i="154"/>
  <c r="I21" i="154"/>
  <c r="I20" i="154"/>
  <c r="I19" i="154"/>
  <c r="I18" i="154"/>
  <c r="I17" i="154"/>
  <c r="I16" i="154"/>
  <c r="I15" i="154"/>
  <c r="I14" i="154"/>
  <c r="I13" i="154"/>
  <c r="I12" i="154"/>
  <c r="I11" i="154"/>
  <c r="I7" i="154"/>
  <c r="I6" i="154"/>
  <c r="I4" i="154"/>
  <c r="I14" i="153"/>
  <c r="I9" i="153"/>
  <c r="I15" i="153"/>
  <c r="F16" i="153"/>
  <c r="I13" i="153"/>
  <c r="H18" i="153"/>
  <c r="I18" i="153" s="1"/>
  <c r="H17" i="153"/>
  <c r="H8" i="153"/>
  <c r="I8" i="153" s="1"/>
  <c r="H7" i="153"/>
  <c r="H4" i="153"/>
  <c r="I4" i="153" s="1"/>
  <c r="F4" i="153"/>
  <c r="I19" i="153"/>
  <c r="I17" i="153"/>
  <c r="I16" i="153"/>
  <c r="I12" i="153"/>
  <c r="I11" i="153"/>
  <c r="I10" i="153"/>
  <c r="I7" i="153"/>
  <c r="I6" i="153"/>
  <c r="I5" i="153"/>
  <c r="H9" i="152"/>
  <c r="F9" i="152"/>
  <c r="I9" i="152"/>
  <c r="H8" i="152"/>
  <c r="I8" i="152"/>
  <c r="F6" i="152"/>
  <c r="H15" i="152"/>
  <c r="F15" i="152"/>
  <c r="H14" i="152"/>
  <c r="I14" i="152" s="1"/>
  <c r="H13" i="152"/>
  <c r="H12" i="152"/>
  <c r="H5" i="152"/>
  <c r="I5" i="152" s="1"/>
  <c r="H4" i="152"/>
  <c r="F4" i="152"/>
  <c r="I16" i="152"/>
  <c r="I15" i="152"/>
  <c r="I13" i="152"/>
  <c r="I12" i="152"/>
  <c r="I11" i="152"/>
  <c r="I10" i="152"/>
  <c r="I7" i="152"/>
  <c r="I6" i="152"/>
  <c r="I4" i="152"/>
  <c r="I16" i="225"/>
  <c r="I19" i="225"/>
  <c r="F18" i="225"/>
  <c r="H4" i="151"/>
  <c r="F4" i="151"/>
  <c r="H9" i="225"/>
  <c r="H10" i="225"/>
  <c r="I10" i="225" s="1"/>
  <c r="F10" i="225"/>
  <c r="H13" i="225"/>
  <c r="I13" i="225" s="1"/>
  <c r="H15" i="225"/>
  <c r="H17" i="225"/>
  <c r="I17" i="225" s="1"/>
  <c r="H20" i="225"/>
  <c r="H25" i="225"/>
  <c r="H7" i="225"/>
  <c r="I25" i="225"/>
  <c r="I24" i="225"/>
  <c r="I23" i="225"/>
  <c r="I22" i="225"/>
  <c r="I21" i="225"/>
  <c r="I20" i="225"/>
  <c r="I18" i="225"/>
  <c r="I15" i="225"/>
  <c r="I14" i="225"/>
  <c r="H12" i="225"/>
  <c r="I12" i="225" s="1"/>
  <c r="I11" i="225"/>
  <c r="I9" i="225"/>
  <c r="I8" i="225"/>
  <c r="I7" i="225"/>
  <c r="I6" i="225"/>
  <c r="I5" i="225"/>
  <c r="I4" i="225"/>
  <c r="I13" i="151"/>
  <c r="I12" i="151"/>
  <c r="I11" i="151"/>
  <c r="H10" i="151"/>
  <c r="I10" i="151" s="1"/>
  <c r="I9" i="151"/>
  <c r="I8" i="151"/>
  <c r="H7" i="151"/>
  <c r="I7" i="151" s="1"/>
  <c r="I6" i="151"/>
  <c r="I6" i="150"/>
  <c r="I15" i="151"/>
  <c r="I14" i="151"/>
  <c r="I5" i="151"/>
  <c r="I4" i="151"/>
  <c r="H5" i="150"/>
  <c r="I5" i="150" s="1"/>
  <c r="I8" i="150"/>
  <c r="I7" i="150"/>
  <c r="I4" i="150"/>
  <c r="H17" i="149"/>
  <c r="I17" i="149"/>
  <c r="H15" i="149"/>
  <c r="I15" i="149" s="1"/>
  <c r="H14" i="149"/>
  <c r="I14" i="149" s="1"/>
  <c r="F20" i="149"/>
  <c r="H23" i="149"/>
  <c r="H22" i="149"/>
  <c r="H19" i="149"/>
  <c r="H12" i="149"/>
  <c r="H11" i="149"/>
  <c r="I11" i="149" s="1"/>
  <c r="F11" i="149"/>
  <c r="H8" i="149"/>
  <c r="I8" i="149" s="1"/>
  <c r="H6" i="149"/>
  <c r="H5" i="149"/>
  <c r="H4" i="149"/>
  <c r="I23" i="149"/>
  <c r="I22" i="149"/>
  <c r="I21" i="149"/>
  <c r="I20" i="149"/>
  <c r="I19" i="149"/>
  <c r="I18" i="149"/>
  <c r="I16" i="149"/>
  <c r="I13" i="149"/>
  <c r="I12" i="149"/>
  <c r="I10" i="149"/>
  <c r="I9" i="149"/>
  <c r="I7" i="149"/>
  <c r="I6" i="149"/>
  <c r="I5" i="149"/>
  <c r="I4" i="149"/>
  <c r="F5" i="148"/>
  <c r="H18" i="148"/>
  <c r="I18" i="148" s="1"/>
  <c r="H17" i="148"/>
  <c r="I17" i="148" s="1"/>
  <c r="F17" i="148"/>
  <c r="H15" i="148"/>
  <c r="H13" i="148"/>
  <c r="I13" i="148" s="1"/>
  <c r="H12" i="148"/>
  <c r="H10" i="148"/>
  <c r="I10" i="148" s="1"/>
  <c r="H9" i="148"/>
  <c r="H7" i="148"/>
  <c r="I22" i="148"/>
  <c r="I21" i="148"/>
  <c r="I20" i="148"/>
  <c r="I19" i="148"/>
  <c r="I16" i="148"/>
  <c r="I15" i="148"/>
  <c r="I14" i="148"/>
  <c r="I12" i="148"/>
  <c r="I11" i="148"/>
  <c r="I9" i="148"/>
  <c r="I8" i="148"/>
  <c r="I7" i="148"/>
  <c r="I6" i="148"/>
  <c r="I5" i="148"/>
  <c r="I4" i="148"/>
  <c r="I25" i="147"/>
  <c r="I24" i="147"/>
  <c r="H16" i="147"/>
  <c r="I16" i="147" s="1"/>
  <c r="H14" i="147"/>
  <c r="I14" i="147" s="1"/>
  <c r="I15" i="147"/>
  <c r="I13" i="147"/>
  <c r="I12" i="147"/>
  <c r="I11" i="147"/>
  <c r="I10" i="147"/>
  <c r="I9" i="147"/>
  <c r="H17" i="147"/>
  <c r="I17" i="147" s="1"/>
  <c r="H23" i="147"/>
  <c r="H7" i="147"/>
  <c r="I7" i="147" s="1"/>
  <c r="H5" i="147"/>
  <c r="I5" i="147" s="1"/>
  <c r="H4" i="147"/>
  <c r="I4" i="147" s="1"/>
  <c r="I23" i="147"/>
  <c r="I22" i="147"/>
  <c r="I21" i="147"/>
  <c r="I20" i="147"/>
  <c r="I19" i="147"/>
  <c r="I18" i="147"/>
  <c r="I8" i="147"/>
  <c r="I6" i="147"/>
  <c r="H5" i="146"/>
  <c r="I5" i="146" s="1"/>
  <c r="H14" i="146"/>
  <c r="I14" i="146" s="1"/>
  <c r="H9" i="146"/>
  <c r="F9" i="146"/>
  <c r="H13" i="146"/>
  <c r="H12" i="146"/>
  <c r="H8" i="146"/>
  <c r="I8" i="146" s="1"/>
  <c r="H6" i="146"/>
  <c r="I6" i="146" s="1"/>
  <c r="I13" i="146"/>
  <c r="I12" i="146"/>
  <c r="I11" i="146"/>
  <c r="I10" i="146"/>
  <c r="I9" i="146"/>
  <c r="I7" i="146"/>
  <c r="I4" i="146"/>
  <c r="I19" i="145"/>
  <c r="F11" i="145"/>
  <c r="H20" i="145"/>
  <c r="I20" i="145" s="1"/>
  <c r="H16" i="145"/>
  <c r="H10" i="145"/>
  <c r="I10" i="145" s="1"/>
  <c r="H9" i="145"/>
  <c r="H6" i="145"/>
  <c r="I6" i="145" s="1"/>
  <c r="I22" i="145"/>
  <c r="I21" i="145"/>
  <c r="I18" i="145"/>
  <c r="I17" i="145"/>
  <c r="I16" i="145"/>
  <c r="I15" i="145"/>
  <c r="I14" i="145"/>
  <c r="I13" i="145"/>
  <c r="I12" i="145"/>
  <c r="I11" i="145"/>
  <c r="I9" i="145"/>
  <c r="I8" i="145"/>
  <c r="I7" i="145"/>
  <c r="I5" i="145"/>
  <c r="I4" i="145"/>
  <c r="I24" i="144"/>
  <c r="F9" i="144"/>
  <c r="I23" i="144"/>
  <c r="I21" i="144"/>
  <c r="I20" i="144"/>
  <c r="I14" i="144"/>
  <c r="I13" i="144"/>
  <c r="I12" i="144"/>
  <c r="H25" i="144"/>
  <c r="H18" i="144"/>
  <c r="H19" i="144"/>
  <c r="H11" i="144"/>
  <c r="I11" i="144" s="1"/>
  <c r="H7" i="144"/>
  <c r="H5" i="144"/>
  <c r="I5" i="144" s="1"/>
  <c r="H4" i="144"/>
  <c r="I4" i="144" s="1"/>
  <c r="I28" i="144"/>
  <c r="I27" i="144"/>
  <c r="I26" i="144"/>
  <c r="I25" i="144"/>
  <c r="I22" i="144"/>
  <c r="I19" i="144"/>
  <c r="I18" i="144"/>
  <c r="I17" i="144"/>
  <c r="I16" i="144"/>
  <c r="I15" i="144"/>
  <c r="I10" i="144"/>
  <c r="I9" i="144"/>
  <c r="I8" i="144"/>
  <c r="I7" i="144"/>
  <c r="I6" i="144"/>
  <c r="I14" i="143"/>
  <c r="F14" i="143"/>
  <c r="H11" i="143"/>
  <c r="I11" i="143" s="1"/>
  <c r="I12" i="143"/>
  <c r="I13" i="143"/>
  <c r="I15" i="143"/>
  <c r="I16" i="143"/>
  <c r="H17" i="143"/>
  <c r="I17" i="143"/>
  <c r="H20" i="143"/>
  <c r="I20" i="143" s="1"/>
  <c r="F20" i="143"/>
  <c r="H19" i="143"/>
  <c r="I19" i="143" s="1"/>
  <c r="H18" i="143"/>
  <c r="H10" i="143"/>
  <c r="I10" i="143" s="1"/>
  <c r="H7" i="143"/>
  <c r="I7" i="143" s="1"/>
  <c r="H6" i="143"/>
  <c r="I6" i="143" s="1"/>
  <c r="I21" i="143"/>
  <c r="I18" i="143"/>
  <c r="I9" i="143"/>
  <c r="I8" i="143"/>
  <c r="I5" i="143"/>
  <c r="I4" i="143"/>
  <c r="F12" i="142" l="1"/>
  <c r="H8" i="142"/>
  <c r="H6" i="142"/>
  <c r="H5" i="142"/>
  <c r="I5" i="142" s="1"/>
  <c r="H4" i="142"/>
  <c r="F4" i="142"/>
  <c r="I15" i="142"/>
  <c r="I14" i="142"/>
  <c r="I13" i="142"/>
  <c r="I12" i="142"/>
  <c r="I11" i="142"/>
  <c r="I10" i="142"/>
  <c r="I9" i="142"/>
  <c r="I8" i="142"/>
  <c r="I7" i="142"/>
  <c r="I6" i="142"/>
  <c r="I4" i="142"/>
  <c r="H13" i="141"/>
  <c r="I13" i="141" s="1"/>
  <c r="H18" i="141"/>
  <c r="I18" i="141" s="1"/>
  <c r="F18" i="141"/>
  <c r="H15" i="141"/>
  <c r="I15" i="141" s="1"/>
  <c r="H12" i="141"/>
  <c r="I12" i="141" s="1"/>
  <c r="H10" i="141"/>
  <c r="H9" i="141"/>
  <c r="F9" i="141"/>
  <c r="H8" i="141"/>
  <c r="H5" i="141"/>
  <c r="I5" i="141" s="1"/>
  <c r="I17" i="141"/>
  <c r="I16" i="141"/>
  <c r="I14" i="141"/>
  <c r="I11" i="141"/>
  <c r="I10" i="141"/>
  <c r="I9" i="141"/>
  <c r="I8" i="141"/>
  <c r="I7" i="141"/>
  <c r="I6" i="141"/>
  <c r="I4" i="141"/>
  <c r="F25" i="140"/>
  <c r="H13" i="140"/>
  <c r="F13" i="140"/>
  <c r="H6" i="140"/>
  <c r="F6" i="140"/>
  <c r="H17" i="140"/>
  <c r="F17" i="140"/>
  <c r="H15" i="140"/>
  <c r="H11" i="140"/>
  <c r="H10" i="140"/>
  <c r="H8" i="140"/>
  <c r="I25" i="140"/>
  <c r="I24" i="140"/>
  <c r="I23" i="140"/>
  <c r="I22" i="140"/>
  <c r="I21" i="140"/>
  <c r="I20" i="140"/>
  <c r="I19" i="140"/>
  <c r="I18" i="140"/>
  <c r="I17" i="140"/>
  <c r="I16" i="140"/>
  <c r="I15" i="140"/>
  <c r="I14" i="140"/>
  <c r="I13" i="140"/>
  <c r="I12" i="140"/>
  <c r="I11" i="140"/>
  <c r="I10" i="140"/>
  <c r="I9" i="140"/>
  <c r="I8" i="140"/>
  <c r="I7" i="140"/>
  <c r="I6" i="140"/>
  <c r="I5" i="140"/>
  <c r="I4" i="140"/>
  <c r="I24" i="139"/>
  <c r="I23" i="139"/>
  <c r="I22" i="139"/>
  <c r="I21" i="139"/>
  <c r="I20" i="139"/>
  <c r="I19" i="139"/>
  <c r="I18" i="139"/>
  <c r="F15" i="139"/>
  <c r="H14" i="139"/>
  <c r="I14" i="139" s="1"/>
  <c r="H9" i="139"/>
  <c r="I9" i="139" s="1"/>
  <c r="H8" i="139"/>
  <c r="I8" i="139" s="1"/>
  <c r="H7" i="139"/>
  <c r="I25" i="139"/>
  <c r="I17" i="139"/>
  <c r="I16" i="139"/>
  <c r="I15" i="139"/>
  <c r="I13" i="139"/>
  <c r="I12" i="139"/>
  <c r="I11" i="139"/>
  <c r="I10" i="139"/>
  <c r="I7" i="139"/>
  <c r="I6" i="139"/>
  <c r="I5" i="139"/>
  <c r="I4" i="139"/>
  <c r="I15" i="138"/>
  <c r="I16" i="138"/>
  <c r="I14" i="138"/>
  <c r="H12" i="138"/>
  <c r="I12" i="138" s="1"/>
  <c r="H18" i="138"/>
  <c r="I18" i="138" s="1"/>
  <c r="H17" i="138"/>
  <c r="I17" i="138" s="1"/>
  <c r="H13" i="138"/>
  <c r="I13" i="138" s="1"/>
  <c r="H10" i="138"/>
  <c r="I10" i="138" s="1"/>
  <c r="H9" i="138"/>
  <c r="I9" i="138" s="1"/>
  <c r="H8" i="138"/>
  <c r="I8" i="138" s="1"/>
  <c r="H5" i="138"/>
  <c r="I5" i="138" s="1"/>
  <c r="H4" i="138"/>
  <c r="I11" i="138"/>
  <c r="I7" i="138"/>
  <c r="I6" i="138"/>
  <c r="I4" i="138"/>
  <c r="H15" i="137"/>
  <c r="I15" i="137" s="1"/>
  <c r="H13" i="137"/>
  <c r="I13" i="137" s="1"/>
  <c r="H9" i="137"/>
  <c r="H11" i="137"/>
  <c r="I11" i="137" s="1"/>
  <c r="I12" i="137"/>
  <c r="F12" i="137"/>
  <c r="H8" i="137"/>
  <c r="F7" i="137"/>
  <c r="H5" i="137"/>
  <c r="I5" i="137" s="1"/>
  <c r="I14" i="137"/>
  <c r="I9" i="137"/>
  <c r="I8" i="137"/>
  <c r="I7" i="137"/>
  <c r="I6" i="137"/>
  <c r="I4" i="137"/>
  <c r="H15" i="136"/>
  <c r="H13" i="136"/>
  <c r="I13" i="136" s="1"/>
  <c r="H11" i="136"/>
  <c r="H10" i="136"/>
  <c r="H8" i="136"/>
  <c r="I15" i="136"/>
  <c r="I14" i="136"/>
  <c r="I12" i="136"/>
  <c r="I11" i="136"/>
  <c r="I10" i="136"/>
  <c r="I9" i="136"/>
  <c r="I8" i="136"/>
  <c r="I7" i="136"/>
  <c r="I6" i="136"/>
  <c r="I5" i="136"/>
  <c r="I4" i="136"/>
  <c r="H17" i="135"/>
  <c r="H14" i="135"/>
  <c r="H6" i="135"/>
  <c r="I6" i="135"/>
  <c r="H5" i="135"/>
  <c r="H4" i="135"/>
  <c r="I17" i="135"/>
  <c r="I16" i="135"/>
  <c r="I15" i="135"/>
  <c r="I14" i="135"/>
  <c r="I13" i="135"/>
  <c r="I12" i="135"/>
  <c r="I11" i="135"/>
  <c r="I10" i="135"/>
  <c r="I9" i="135"/>
  <c r="I8" i="135"/>
  <c r="I7" i="135"/>
  <c r="I5" i="135"/>
  <c r="I4" i="135"/>
  <c r="H17" i="134"/>
  <c r="I17" i="134" s="1"/>
  <c r="F15" i="134"/>
  <c r="H20" i="134"/>
  <c r="I20" i="134" s="1"/>
  <c r="H19" i="134"/>
  <c r="I19" i="134" s="1"/>
  <c r="H16" i="134"/>
  <c r="H13" i="134"/>
  <c r="I13" i="134" s="1"/>
  <c r="H10" i="134"/>
  <c r="H8" i="134"/>
  <c r="H7" i="134"/>
  <c r="H6" i="134"/>
  <c r="H5" i="134"/>
  <c r="H4" i="134"/>
  <c r="I4" i="134" s="1"/>
  <c r="I21" i="134"/>
  <c r="I18" i="134"/>
  <c r="I16" i="134"/>
  <c r="I15" i="134"/>
  <c r="I14" i="134"/>
  <c r="I12" i="134"/>
  <c r="I11" i="134"/>
  <c r="I10" i="134"/>
  <c r="I9" i="134"/>
  <c r="I8" i="134"/>
  <c r="I7" i="134"/>
  <c r="I6" i="134"/>
  <c r="I5" i="134"/>
  <c r="H26" i="133"/>
  <c r="I26" i="133" s="1"/>
  <c r="I19" i="133"/>
  <c r="I18" i="133"/>
  <c r="I17" i="133"/>
  <c r="F12" i="133"/>
  <c r="F11" i="133"/>
  <c r="H25" i="133"/>
  <c r="H24" i="133"/>
  <c r="I24" i="133" s="1"/>
  <c r="H22" i="133"/>
  <c r="H21" i="133"/>
  <c r="I21" i="133" s="1"/>
  <c r="H14" i="133"/>
  <c r="H13" i="133"/>
  <c r="I13" i="133" s="1"/>
  <c r="F9" i="133"/>
  <c r="H7" i="133"/>
  <c r="H6" i="133"/>
  <c r="H5" i="133"/>
  <c r="H4" i="133"/>
  <c r="I25" i="133"/>
  <c r="I23" i="133"/>
  <c r="I22" i="133"/>
  <c r="I20" i="133"/>
  <c r="I16" i="133"/>
  <c r="I15" i="133"/>
  <c r="I14" i="133"/>
  <c r="I12" i="133"/>
  <c r="I11" i="133"/>
  <c r="I10" i="133"/>
  <c r="I9" i="133"/>
  <c r="I8" i="133"/>
  <c r="I7" i="133"/>
  <c r="I6" i="133"/>
  <c r="I5" i="133"/>
  <c r="I4" i="133"/>
  <c r="I25" i="132" l="1"/>
  <c r="H24" i="132"/>
  <c r="I24" i="132" s="1"/>
  <c r="F28" i="132"/>
  <c r="H27" i="132"/>
  <c r="I27" i="132" s="1"/>
  <c r="H26" i="132"/>
  <c r="H22" i="132"/>
  <c r="H21" i="132"/>
  <c r="H20" i="132"/>
  <c r="I20" i="132" s="1"/>
  <c r="H19" i="132"/>
  <c r="H17" i="132"/>
  <c r="H16" i="132"/>
  <c r="H12" i="132"/>
  <c r="H11" i="132"/>
  <c r="H10" i="132"/>
  <c r="H7" i="132"/>
  <c r="H4" i="132"/>
  <c r="F4" i="132"/>
  <c r="I28" i="132"/>
  <c r="I26" i="132"/>
  <c r="I23" i="132"/>
  <c r="I22" i="132"/>
  <c r="I21" i="132"/>
  <c r="I19" i="132"/>
  <c r="I18" i="132"/>
  <c r="I17" i="132"/>
  <c r="I16" i="132"/>
  <c r="I15" i="132"/>
  <c r="I14" i="132"/>
  <c r="I13" i="132"/>
  <c r="I12" i="132"/>
  <c r="I11" i="132"/>
  <c r="I10" i="132"/>
  <c r="I9" i="132"/>
  <c r="I8" i="132"/>
  <c r="I7" i="132"/>
  <c r="I6" i="132"/>
  <c r="I5" i="132"/>
  <c r="I4" i="132"/>
  <c r="I17" i="131"/>
  <c r="I24" i="131"/>
  <c r="I23" i="131"/>
  <c r="I22" i="131"/>
  <c r="I21" i="131"/>
  <c r="I19" i="131"/>
  <c r="H18" i="131"/>
  <c r="I18" i="131" s="1"/>
  <c r="H16" i="131"/>
  <c r="I16" i="131" s="1"/>
  <c r="I15" i="131"/>
  <c r="I14" i="131"/>
  <c r="H25" i="131"/>
  <c r="I25" i="131" s="1"/>
  <c r="H13" i="131"/>
  <c r="I13" i="131" s="1"/>
  <c r="H12" i="131"/>
  <c r="H10" i="131"/>
  <c r="I10" i="131" s="1"/>
  <c r="H8" i="131"/>
  <c r="I8" i="131" s="1"/>
  <c r="H5" i="131"/>
  <c r="I5" i="131" s="1"/>
  <c r="F5" i="131"/>
  <c r="H6" i="131"/>
  <c r="I6" i="131" s="1"/>
  <c r="I26" i="131"/>
  <c r="I20" i="131"/>
  <c r="I12" i="131"/>
  <c r="I11" i="131"/>
  <c r="I9" i="131"/>
  <c r="I7" i="131"/>
  <c r="I4" i="131"/>
  <c r="I14" i="130"/>
  <c r="H15" i="130"/>
  <c r="I15" i="130"/>
  <c r="H13" i="130"/>
  <c r="I13" i="130"/>
  <c r="F5" i="130"/>
  <c r="H16" i="130"/>
  <c r="I16" i="130" s="1"/>
  <c r="H12" i="130"/>
  <c r="H10" i="130"/>
  <c r="I10" i="130" s="1"/>
  <c r="I12" i="130"/>
  <c r="I11" i="130"/>
  <c r="I9" i="130"/>
  <c r="I8" i="130"/>
  <c r="I7" i="130"/>
  <c r="I6" i="130"/>
  <c r="I5" i="130"/>
  <c r="I4" i="130"/>
  <c r="F5" i="129"/>
  <c r="H12" i="129"/>
  <c r="I12" i="129"/>
  <c r="H10" i="129"/>
  <c r="I10" i="129"/>
  <c r="H21" i="129"/>
  <c r="H20" i="129"/>
  <c r="I20" i="129" s="1"/>
  <c r="H19" i="129"/>
  <c r="H17" i="129"/>
  <c r="H16" i="129"/>
  <c r="H15" i="129"/>
  <c r="H11" i="129"/>
  <c r="H8" i="129"/>
  <c r="I8" i="129" s="1"/>
  <c r="H7" i="129"/>
  <c r="H6" i="129"/>
  <c r="I6" i="129" s="1"/>
  <c r="I21" i="129"/>
  <c r="I19" i="129"/>
  <c r="I18" i="129"/>
  <c r="I17" i="129"/>
  <c r="I16" i="129"/>
  <c r="I15" i="129"/>
  <c r="I14" i="129"/>
  <c r="I13" i="129"/>
  <c r="I11" i="129"/>
  <c r="I9" i="129"/>
  <c r="I7" i="129"/>
  <c r="I5" i="129"/>
  <c r="I4" i="129"/>
  <c r="I26" i="128" l="1"/>
  <c r="I22" i="128"/>
  <c r="F18" i="128"/>
  <c r="H8" i="128"/>
  <c r="I8" i="128" s="1"/>
  <c r="H25" i="128"/>
  <c r="I25" i="128" s="1"/>
  <c r="H23" i="128"/>
  <c r="I23" i="128" s="1"/>
  <c r="H20" i="128"/>
  <c r="I20" i="128" s="1"/>
  <c r="H17" i="128"/>
  <c r="I17" i="128" s="1"/>
  <c r="H14" i="128"/>
  <c r="H13" i="128"/>
  <c r="I13" i="128" s="1"/>
  <c r="H12" i="128"/>
  <c r="I12" i="128" s="1"/>
  <c r="H10" i="128"/>
  <c r="H7" i="128"/>
  <c r="I7" i="128" s="1"/>
  <c r="H4" i="128"/>
  <c r="I4" i="128" s="1"/>
  <c r="I27" i="128"/>
  <c r="I24" i="128"/>
  <c r="I21" i="128"/>
  <c r="I19" i="128"/>
  <c r="I18" i="128"/>
  <c r="I16" i="128"/>
  <c r="I15" i="128"/>
  <c r="I14" i="128"/>
  <c r="I11" i="128"/>
  <c r="I10" i="128"/>
  <c r="I9" i="128"/>
  <c r="I6" i="128"/>
  <c r="I5" i="128"/>
  <c r="H17" i="127"/>
  <c r="I17" i="127"/>
  <c r="H19" i="126"/>
  <c r="I19" i="126" s="1"/>
  <c r="I16" i="127"/>
  <c r="I15" i="127"/>
  <c r="I14" i="127"/>
  <c r="I13" i="127"/>
  <c r="I12" i="127"/>
  <c r="I11" i="127"/>
  <c r="F25" i="127"/>
  <c r="H24" i="127"/>
  <c r="H22" i="127"/>
  <c r="H21" i="127"/>
  <c r="I21" i="127" s="1"/>
  <c r="H20" i="127"/>
  <c r="H19" i="127"/>
  <c r="I19" i="127" s="1"/>
  <c r="H9" i="127"/>
  <c r="H8" i="127"/>
  <c r="H7" i="127"/>
  <c r="F6" i="127"/>
  <c r="H5" i="127"/>
  <c r="H4" i="127"/>
  <c r="I25" i="127"/>
  <c r="I24" i="127"/>
  <c r="I23" i="127"/>
  <c r="I22" i="127"/>
  <c r="I20" i="127"/>
  <c r="I18" i="127"/>
  <c r="I10" i="127"/>
  <c r="I9" i="127"/>
  <c r="I8" i="127"/>
  <c r="I7" i="127"/>
  <c r="I6" i="127"/>
  <c r="I5" i="127"/>
  <c r="I4" i="127"/>
  <c r="I17" i="126"/>
  <c r="I16" i="126"/>
  <c r="I15" i="126"/>
  <c r="H13" i="126"/>
  <c r="I13" i="126" s="1"/>
  <c r="H20" i="126"/>
  <c r="I20" i="126" s="1"/>
  <c r="H18" i="126"/>
  <c r="H12" i="126"/>
  <c r="I12" i="126" s="1"/>
  <c r="H10" i="126"/>
  <c r="H8" i="126"/>
  <c r="I8" i="126" s="1"/>
  <c r="H6" i="126"/>
  <c r="I18" i="126"/>
  <c r="I14" i="126"/>
  <c r="I11" i="126"/>
  <c r="I10" i="126"/>
  <c r="I9" i="126"/>
  <c r="I7" i="126"/>
  <c r="I6" i="126"/>
  <c r="I5" i="126"/>
  <c r="I4" i="126"/>
  <c r="H11" i="125"/>
  <c r="I13" i="125"/>
  <c r="H14" i="125"/>
  <c r="I14" i="125"/>
  <c r="H16" i="125"/>
  <c r="I16" i="125"/>
  <c r="H15" i="125"/>
  <c r="H9" i="125"/>
  <c r="I9" i="125" s="1"/>
  <c r="H8" i="125"/>
  <c r="F8" i="125"/>
  <c r="H6" i="125"/>
  <c r="H4" i="125"/>
  <c r="I4" i="125" s="1"/>
  <c r="I15" i="125"/>
  <c r="I12" i="125"/>
  <c r="I11" i="125"/>
  <c r="I10" i="125"/>
  <c r="I8" i="125"/>
  <c r="I7" i="125"/>
  <c r="I6" i="125"/>
  <c r="I5" i="125"/>
  <c r="I20" i="124"/>
  <c r="I19" i="124"/>
  <c r="I21" i="124"/>
  <c r="I22" i="124"/>
  <c r="I23" i="124"/>
  <c r="I24" i="124"/>
  <c r="H18" i="124"/>
  <c r="I18" i="124"/>
  <c r="I13" i="124"/>
  <c r="H26" i="124"/>
  <c r="I26" i="124" s="1"/>
  <c r="H17" i="124"/>
  <c r="I17" i="124" s="1"/>
  <c r="H16" i="124"/>
  <c r="I16" i="124" s="1"/>
  <c r="H15" i="124"/>
  <c r="I15" i="124" s="1"/>
  <c r="H12" i="124"/>
  <c r="I12" i="124" s="1"/>
  <c r="I10" i="124"/>
  <c r="H11" i="124"/>
  <c r="H8" i="124"/>
  <c r="H7" i="124"/>
  <c r="I7" i="124" s="1"/>
  <c r="H5" i="124"/>
  <c r="H4" i="124"/>
  <c r="F4" i="124"/>
  <c r="I25" i="124"/>
  <c r="I14" i="124"/>
  <c r="I11" i="124"/>
  <c r="I9" i="124"/>
  <c r="I8" i="124"/>
  <c r="I6" i="124"/>
  <c r="I5" i="124"/>
  <c r="I4" i="124"/>
  <c r="H8" i="123"/>
  <c r="I8" i="123"/>
  <c r="H18" i="123"/>
  <c r="H17" i="123"/>
  <c r="H12" i="123"/>
  <c r="H10" i="123"/>
  <c r="I10" i="123" s="1"/>
  <c r="H9" i="123"/>
  <c r="F9" i="123"/>
  <c r="H7" i="123"/>
  <c r="H6" i="123"/>
  <c r="H4" i="123"/>
  <c r="I18" i="123"/>
  <c r="I17" i="123"/>
  <c r="I16" i="123"/>
  <c r="I15" i="123"/>
  <c r="I14" i="123"/>
  <c r="I13" i="123"/>
  <c r="I12" i="123"/>
  <c r="I11" i="123"/>
  <c r="I9" i="123"/>
  <c r="I7" i="123"/>
  <c r="I6" i="123"/>
  <c r="I5" i="123"/>
  <c r="I4" i="123"/>
  <c r="H7" i="122"/>
  <c r="F10" i="122"/>
  <c r="I7" i="122"/>
  <c r="H20" i="122"/>
  <c r="H17" i="122"/>
  <c r="I17" i="122" s="1"/>
  <c r="H16" i="122"/>
  <c r="H13" i="122"/>
  <c r="I13" i="122" s="1"/>
  <c r="H11" i="122"/>
  <c r="H8" i="122"/>
  <c r="H4" i="122"/>
  <c r="I20" i="122"/>
  <c r="I19" i="122"/>
  <c r="I18" i="122"/>
  <c r="I16" i="122"/>
  <c r="I15" i="122"/>
  <c r="I14" i="122"/>
  <c r="I12" i="122"/>
  <c r="I11" i="122"/>
  <c r="I10" i="122"/>
  <c r="I9" i="122"/>
  <c r="I8" i="122"/>
  <c r="I6" i="122"/>
  <c r="I5" i="122"/>
  <c r="I4" i="122"/>
  <c r="H22" i="121"/>
  <c r="I22" i="121"/>
  <c r="H18" i="120"/>
  <c r="I18" i="120"/>
  <c r="I21" i="121"/>
  <c r="H20" i="121"/>
  <c r="I20" i="121" s="1"/>
  <c r="I19" i="121"/>
  <c r="I18" i="121"/>
  <c r="I17" i="121"/>
  <c r="H17" i="121"/>
  <c r="I16" i="121"/>
  <c r="H16" i="121"/>
  <c r="I15" i="121"/>
  <c r="H14" i="121"/>
  <c r="I14" i="121" s="1"/>
  <c r="H13" i="121"/>
  <c r="I13" i="121" s="1"/>
  <c r="H12" i="121"/>
  <c r="I12" i="121" s="1"/>
  <c r="I11" i="121"/>
  <c r="H10" i="121"/>
  <c r="I10" i="121" s="1"/>
  <c r="I9" i="121"/>
  <c r="I8" i="121"/>
  <c r="I7" i="121"/>
  <c r="H6" i="121"/>
  <c r="I6" i="121" s="1"/>
  <c r="H5" i="121"/>
  <c r="I5" i="121" s="1"/>
  <c r="I4" i="121"/>
  <c r="H6" i="120"/>
  <c r="I20" i="120"/>
  <c r="I19" i="120"/>
  <c r="I17" i="120"/>
  <c r="H16" i="120"/>
  <c r="I16" i="120" s="1"/>
  <c r="H15" i="120"/>
  <c r="I15" i="120" s="1"/>
  <c r="F15" i="120"/>
  <c r="I14" i="120"/>
  <c r="H14" i="120"/>
  <c r="I13" i="120"/>
  <c r="I12" i="120"/>
  <c r="I11" i="120"/>
  <c r="H11" i="120"/>
  <c r="I10" i="120"/>
  <c r="H10" i="120"/>
  <c r="I9" i="120"/>
  <c r="H8" i="120"/>
  <c r="I8" i="120" s="1"/>
  <c r="I7" i="120"/>
  <c r="I6" i="120"/>
  <c r="I5" i="120"/>
  <c r="H5" i="120"/>
  <c r="I4" i="120"/>
  <c r="H4" i="120"/>
  <c r="H12" i="116"/>
  <c r="I12" i="116" s="1"/>
  <c r="F10" i="118"/>
  <c r="H6" i="118"/>
  <c r="I6" i="118" s="1"/>
  <c r="H20" i="118"/>
  <c r="H19" i="118"/>
  <c r="I19" i="118" s="1"/>
  <c r="H17" i="118"/>
  <c r="I17" i="118" s="1"/>
  <c r="F17" i="118"/>
  <c r="H14" i="118"/>
  <c r="H12" i="118"/>
  <c r="I12" i="118" s="1"/>
  <c r="I20" i="118"/>
  <c r="I18" i="118"/>
  <c r="I16" i="118"/>
  <c r="I15" i="118"/>
  <c r="I14" i="118"/>
  <c r="I13" i="118"/>
  <c r="I11" i="118"/>
  <c r="I10" i="118"/>
  <c r="I9" i="118"/>
  <c r="I8" i="118"/>
  <c r="I7" i="118"/>
  <c r="I5" i="118"/>
  <c r="I4" i="118"/>
  <c r="I21" i="117"/>
  <c r="F16" i="117"/>
  <c r="F13" i="117"/>
  <c r="H7" i="117"/>
  <c r="H6" i="117"/>
  <c r="H5" i="117"/>
  <c r="H4" i="117"/>
  <c r="I24" i="117"/>
  <c r="I23" i="117"/>
  <c r="I22" i="117"/>
  <c r="I20" i="117"/>
  <c r="I19" i="117"/>
  <c r="I18" i="117"/>
  <c r="I17" i="117"/>
  <c r="I16" i="117"/>
  <c r="I15" i="117"/>
  <c r="I14" i="117"/>
  <c r="I13" i="117"/>
  <c r="I12" i="117"/>
  <c r="I11" i="117"/>
  <c r="I10" i="117"/>
  <c r="I9" i="117"/>
  <c r="I8" i="117"/>
  <c r="I7" i="117"/>
  <c r="I6" i="117"/>
  <c r="I5" i="117"/>
  <c r="I4" i="117"/>
  <c r="I14" i="116"/>
  <c r="H15" i="116"/>
  <c r="F8" i="116"/>
  <c r="F7" i="116"/>
  <c r="F20" i="116"/>
  <c r="H22" i="116"/>
  <c r="H11" i="116"/>
  <c r="I11" i="116" s="1"/>
  <c r="H6" i="116"/>
  <c r="H5" i="116"/>
  <c r="I5" i="116" s="1"/>
  <c r="I23" i="116"/>
  <c r="I22" i="116"/>
  <c r="I21" i="116"/>
  <c r="I20" i="116"/>
  <c r="I19" i="116"/>
  <c r="I18" i="116"/>
  <c r="I17" i="116"/>
  <c r="I16" i="116"/>
  <c r="I15" i="116"/>
  <c r="I13" i="116"/>
  <c r="I10" i="116"/>
  <c r="I9" i="116"/>
  <c r="I8" i="116"/>
  <c r="I7" i="116"/>
  <c r="I6" i="116"/>
  <c r="I4" i="116"/>
  <c r="I22" i="224"/>
  <c r="I28" i="224"/>
  <c r="I27" i="224"/>
  <c r="I26" i="224"/>
  <c r="I25" i="224"/>
  <c r="I24" i="224"/>
  <c r="I23" i="224"/>
  <c r="I21" i="224"/>
  <c r="H30" i="224"/>
  <c r="I30" i="224" s="1"/>
  <c r="I29" i="224"/>
  <c r="H6" i="224"/>
  <c r="F6" i="224"/>
  <c r="I6" i="224"/>
  <c r="I15" i="224"/>
  <c r="H10" i="224"/>
  <c r="I10" i="224" s="1"/>
  <c r="F10" i="224"/>
  <c r="I11" i="224"/>
  <c r="I14" i="224"/>
  <c r="I8" i="224"/>
  <c r="F17" i="224"/>
  <c r="I17" i="224"/>
  <c r="I18" i="224"/>
  <c r="I21" i="223"/>
  <c r="I14" i="223"/>
  <c r="H6" i="223"/>
  <c r="F6" i="223"/>
  <c r="F9" i="223"/>
  <c r="I16" i="223"/>
  <c r="I12" i="223"/>
  <c r="H12" i="224"/>
  <c r="I12" i="224" s="1"/>
  <c r="I15" i="223"/>
  <c r="H19" i="223"/>
  <c r="I19" i="223" s="1"/>
  <c r="I13" i="223"/>
  <c r="I18" i="223"/>
  <c r="I17" i="223"/>
  <c r="I11" i="223"/>
  <c r="F22" i="223"/>
  <c r="I20" i="224"/>
  <c r="I19" i="224"/>
  <c r="I31" i="224"/>
  <c r="I32" i="224"/>
  <c r="H5" i="224"/>
  <c r="I5" i="224" s="1"/>
  <c r="I34" i="224"/>
  <c r="I33" i="224"/>
  <c r="I16" i="224"/>
  <c r="I13" i="224"/>
  <c r="I9" i="224"/>
  <c r="I7" i="224"/>
  <c r="I4" i="224"/>
  <c r="I10" i="223"/>
  <c r="H8" i="223"/>
  <c r="I8" i="223" s="1"/>
  <c r="H5" i="223"/>
  <c r="I5" i="223" s="1"/>
  <c r="I22" i="223"/>
  <c r="H20" i="223"/>
  <c r="I20" i="223" s="1"/>
  <c r="H7" i="223"/>
  <c r="I7" i="223" s="1"/>
  <c r="I6" i="223"/>
  <c r="I23" i="223"/>
  <c r="I9" i="223"/>
  <c r="I4" i="223"/>
  <c r="I18" i="115"/>
  <c r="I17" i="115"/>
  <c r="I16" i="115"/>
  <c r="I15" i="115"/>
  <c r="F15" i="115"/>
  <c r="I14" i="115"/>
  <c r="I13" i="115"/>
  <c r="I12" i="115"/>
  <c r="I11" i="115"/>
  <c r="I10" i="115"/>
  <c r="H9" i="115"/>
  <c r="I9" i="115" s="1"/>
  <c r="H8" i="115"/>
  <c r="I8" i="115" s="1"/>
  <c r="H7" i="115"/>
  <c r="F7" i="115"/>
  <c r="H5" i="115"/>
  <c r="D29" i="115"/>
  <c r="I19" i="115"/>
  <c r="I7" i="115"/>
  <c r="I6" i="115"/>
  <c r="I5" i="115"/>
  <c r="I4" i="115"/>
  <c r="F4" i="114"/>
  <c r="H7" i="114"/>
  <c r="I7" i="114" s="1"/>
  <c r="I19" i="113"/>
  <c r="F19" i="113"/>
  <c r="H6" i="114"/>
  <c r="D20" i="114"/>
  <c r="I10" i="114"/>
  <c r="I9" i="114"/>
  <c r="I8" i="114"/>
  <c r="I6" i="114"/>
  <c r="I5" i="114"/>
  <c r="I4" i="114"/>
  <c r="I18" i="113"/>
  <c r="H17" i="113"/>
  <c r="I17" i="113" s="1"/>
  <c r="H20" i="113"/>
  <c r="I20" i="113" s="1"/>
  <c r="I16" i="113"/>
  <c r="I15" i="113"/>
  <c r="I14" i="113"/>
  <c r="I13" i="113"/>
  <c r="F13" i="113"/>
  <c r="H10" i="113"/>
  <c r="I10" i="113" s="1"/>
  <c r="H8" i="113"/>
  <c r="I8" i="113" s="1"/>
  <c r="F4" i="113"/>
  <c r="F12" i="113"/>
  <c r="H11" i="113"/>
  <c r="I11" i="113" s="1"/>
  <c r="H9" i="113"/>
  <c r="D31" i="113"/>
  <c r="H21" i="113"/>
  <c r="I21" i="113" s="1"/>
  <c r="I12" i="113"/>
  <c r="I9" i="113"/>
  <c r="I7" i="113"/>
  <c r="I6" i="113"/>
  <c r="I5" i="113"/>
  <c r="I4" i="113"/>
  <c r="H11" i="112"/>
  <c r="F11" i="112"/>
  <c r="I4" i="108"/>
  <c r="H4" i="108"/>
  <c r="H16" i="107"/>
  <c r="H10" i="107"/>
  <c r="I10" i="107"/>
  <c r="H10" i="106"/>
  <c r="I10" i="106" s="1"/>
  <c r="H9" i="106"/>
  <c r="H13" i="112"/>
  <c r="H12" i="112"/>
  <c r="H9" i="112"/>
  <c r="F9" i="112"/>
  <c r="H7" i="112"/>
  <c r="H6" i="112"/>
  <c r="H4" i="112"/>
  <c r="I4" i="112" s="1"/>
  <c r="D23" i="112"/>
  <c r="I13" i="112"/>
  <c r="I12" i="112"/>
  <c r="I11" i="112"/>
  <c r="I10" i="112"/>
  <c r="I9" i="112"/>
  <c r="I8" i="112"/>
  <c r="I7" i="112"/>
  <c r="I6" i="112"/>
  <c r="I5" i="112"/>
  <c r="H15" i="111"/>
  <c r="H14" i="111"/>
  <c r="F11" i="111"/>
  <c r="H8" i="111"/>
  <c r="H7" i="111"/>
  <c r="H6" i="111"/>
  <c r="H4" i="111"/>
  <c r="D25" i="111"/>
  <c r="I15" i="111"/>
  <c r="I14" i="111"/>
  <c r="I13" i="111"/>
  <c r="I12" i="111"/>
  <c r="I11" i="111"/>
  <c r="I10" i="111"/>
  <c r="I9" i="111"/>
  <c r="I8" i="111"/>
  <c r="I7" i="111"/>
  <c r="I6" i="111"/>
  <c r="I5" i="111"/>
  <c r="I4" i="111"/>
  <c r="I15" i="110"/>
  <c r="I14" i="110"/>
  <c r="I13" i="110"/>
  <c r="H12" i="110"/>
  <c r="I12" i="110" s="1"/>
  <c r="H11" i="110"/>
  <c r="I11" i="110" s="1"/>
  <c r="H9" i="110"/>
  <c r="I9" i="110" s="1"/>
  <c r="I8" i="110"/>
  <c r="H7" i="110"/>
  <c r="I7" i="110" s="1"/>
  <c r="H6" i="110"/>
  <c r="I6" i="110" s="1"/>
  <c r="H17" i="110"/>
  <c r="I17" i="110" s="1"/>
  <c r="H5" i="110"/>
  <c r="I5" i="110" s="1"/>
  <c r="H4" i="110"/>
  <c r="F4" i="110"/>
  <c r="D28" i="110"/>
  <c r="I18" i="110"/>
  <c r="I16" i="110"/>
  <c r="I10" i="110"/>
  <c r="I4" i="110"/>
  <c r="H4" i="109"/>
  <c r="F4" i="109"/>
  <c r="H10" i="109"/>
  <c r="H9" i="109"/>
  <c r="I9" i="109" s="1"/>
  <c r="H8" i="109"/>
  <c r="H5" i="109"/>
  <c r="I5" i="109" s="1"/>
  <c r="D20" i="109"/>
  <c r="I10" i="109"/>
  <c r="I8" i="109"/>
  <c r="I7" i="109"/>
  <c r="I6" i="109"/>
  <c r="I4" i="109"/>
  <c r="I12" i="108"/>
  <c r="H16" i="108"/>
  <c r="F16" i="108"/>
  <c r="F9" i="108"/>
  <c r="H6" i="108"/>
  <c r="H17" i="108"/>
  <c r="I17" i="108" s="1"/>
  <c r="H15" i="108"/>
  <c r="H14" i="108"/>
  <c r="H13" i="108"/>
  <c r="H5" i="108"/>
  <c r="D27" i="108"/>
  <c r="I16" i="108"/>
  <c r="I15" i="108"/>
  <c r="I14" i="108"/>
  <c r="I13" i="108"/>
  <c r="I11" i="108"/>
  <c r="I10" i="108"/>
  <c r="I9" i="108"/>
  <c r="I8" i="108"/>
  <c r="I7" i="108"/>
  <c r="I6" i="108"/>
  <c r="I5" i="108"/>
  <c r="I17" i="107"/>
  <c r="H11" i="107"/>
  <c r="I11" i="107" s="1"/>
  <c r="I16" i="107"/>
  <c r="H12" i="107"/>
  <c r="I12" i="107" s="1"/>
  <c r="H9" i="107"/>
  <c r="I9" i="107" s="1"/>
  <c r="H8" i="107"/>
  <c r="H7" i="107"/>
  <c r="I7" i="107" s="1"/>
  <c r="H6" i="107"/>
  <c r="I6" i="107" s="1"/>
  <c r="H5" i="107"/>
  <c r="I5" i="107" s="1"/>
  <c r="D31" i="107"/>
  <c r="I21" i="107"/>
  <c r="I20" i="107"/>
  <c r="I19" i="107"/>
  <c r="I18" i="107"/>
  <c r="I15" i="107"/>
  <c r="I14" i="107"/>
  <c r="I13" i="107"/>
  <c r="I8" i="107"/>
  <c r="I4" i="107"/>
  <c r="H18" i="106"/>
  <c r="I18" i="106" s="1"/>
  <c r="I12" i="106"/>
  <c r="I11" i="106"/>
  <c r="H6" i="106"/>
  <c r="I6" i="106" s="1"/>
  <c r="H21" i="106"/>
  <c r="I21" i="106" s="1"/>
  <c r="H20" i="106"/>
  <c r="I20" i="106" s="1"/>
  <c r="H19" i="106"/>
  <c r="I19" i="106" s="1"/>
  <c r="H17" i="106"/>
  <c r="I17" i="106" s="1"/>
  <c r="H16" i="106"/>
  <c r="I16" i="106" s="1"/>
  <c r="H13" i="106"/>
  <c r="I13" i="106" s="1"/>
  <c r="I9" i="106"/>
  <c r="H8" i="106"/>
  <c r="I8" i="106" s="1"/>
  <c r="H5" i="106"/>
  <c r="I5" i="106" s="1"/>
  <c r="H4" i="106"/>
  <c r="D31" i="106"/>
  <c r="I15" i="106"/>
  <c r="I14" i="106"/>
  <c r="I7" i="106"/>
  <c r="I4" i="106"/>
</calcChain>
</file>

<file path=xl/sharedStrings.xml><?xml version="1.0" encoding="utf-8"?>
<sst xmlns="http://schemas.openxmlformats.org/spreadsheetml/2006/main" count="14459" uniqueCount="1909">
  <si>
    <t>OVERRUN AND UNDERRUN ON DAILY TRANSFER REPORT.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</si>
  <si>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</si>
  <si>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M/C N0.</t>
  </si>
  <si>
    <t>W/O N0.</t>
  </si>
  <si>
    <t xml:space="preserve">CUSTOMER </t>
  </si>
  <si>
    <t>PRODUCT DESCRIPTION</t>
  </si>
  <si>
    <t>PRODUCT DIMENSIONS</t>
  </si>
  <si>
    <t xml:space="preserve">DAILY QTY TRANSFERRED </t>
  </si>
  <si>
    <t>QTY ORDERED (units/kg)</t>
  </si>
  <si>
    <t>CUM QTY TRANSFERRED (Units/kg)</t>
  </si>
  <si>
    <t>ORDER BALANCE (Units/kg)</t>
  </si>
  <si>
    <t>REMARKS</t>
  </si>
  <si>
    <t xml:space="preserve">Action to be taken </t>
  </si>
  <si>
    <t>By</t>
  </si>
  <si>
    <t>BM15</t>
  </si>
  <si>
    <t>STOCK</t>
  </si>
  <si>
    <t>STILL RUNNING</t>
  </si>
  <si>
    <t>BM10</t>
  </si>
  <si>
    <t>PLAIN CLEAR LDPE BAGS</t>
  </si>
  <si>
    <t>BM05</t>
  </si>
  <si>
    <t>BM19</t>
  </si>
  <si>
    <t>BM06</t>
  </si>
  <si>
    <t>SL04</t>
  </si>
  <si>
    <t>COMPLETED</t>
  </si>
  <si>
    <t>OVER RUN</t>
  </si>
  <si>
    <t>EX14</t>
  </si>
  <si>
    <t>SL02</t>
  </si>
  <si>
    <t>PRINTED CLEAR LDPE BAGS</t>
  </si>
  <si>
    <t>BM02</t>
  </si>
  <si>
    <t>TELECRAFT</t>
  </si>
  <si>
    <t>BM17</t>
  </si>
  <si>
    <t>UNDER RUN</t>
  </si>
  <si>
    <t>MEGAPAK ZIM</t>
  </si>
  <si>
    <t>1220mm x 888mm x 1800mm x 35um</t>
  </si>
  <si>
    <t>IRVINES ZIM</t>
  </si>
  <si>
    <t>PLAIN CLEAR LDPE TUBING</t>
  </si>
  <si>
    <t>THE PACKAGING HUB</t>
  </si>
  <si>
    <t>PRINTED WHITE BOPP BAGS</t>
  </si>
  <si>
    <t>320mm x 80um</t>
  </si>
  <si>
    <t>320mm x 450mm x 70um</t>
  </si>
  <si>
    <t>BM13</t>
  </si>
  <si>
    <t>BATA SHOE COMPANY</t>
  </si>
  <si>
    <t>PRINTED WHITE LDPE BAGS</t>
  </si>
  <si>
    <t>PRINTED CLEAR LDPE AUTOPACK</t>
  </si>
  <si>
    <t>BM18</t>
  </si>
  <si>
    <t>250mm x 140mm x 460mm x 30um</t>
  </si>
  <si>
    <t>440mm x 30um</t>
  </si>
  <si>
    <t>PLAIN BLACK LDPE CARRIER BAGS</t>
  </si>
  <si>
    <t>PRINTED CLEAR BOPP BAGS</t>
  </si>
  <si>
    <t>120mm x 330mm x 30um</t>
  </si>
  <si>
    <t>260mm x 150mm x 500mm x 30um</t>
  </si>
  <si>
    <t>SL01</t>
  </si>
  <si>
    <t>PLAIN CLEAR LDPE SLEEVES</t>
  </si>
  <si>
    <t>PLAIN BLUE LDPE ICE BAGS</t>
  </si>
  <si>
    <t>PLAIN NATURAL HDPE BAGS</t>
  </si>
  <si>
    <t>285mm x 460mm x 80um</t>
  </si>
  <si>
    <t>0226/141</t>
  </si>
  <si>
    <t>PLAIN CLEAR BOPP C-FOLD SHEETING</t>
  </si>
  <si>
    <t>245mm x 390mm x 50um</t>
  </si>
  <si>
    <t>330mm x 630mm x 25um</t>
  </si>
  <si>
    <t>0326/51</t>
  </si>
  <si>
    <t>BAKERS RITE</t>
  </si>
  <si>
    <t>DENDAIRY</t>
  </si>
  <si>
    <t>0326/82</t>
  </si>
  <si>
    <t xml:space="preserve"> </t>
  </si>
  <si>
    <t>PLAIN BLACK LDPE PLANTING BAGS</t>
  </si>
  <si>
    <t>FESTIVE EGGS</t>
  </si>
  <si>
    <t>0326/</t>
  </si>
  <si>
    <t>PLAIN NATURAL HDPE BREAD BAGS</t>
  </si>
  <si>
    <t>230mm x 400mm x 6um</t>
  </si>
  <si>
    <t>HARDLEY SUGAR</t>
  </si>
  <si>
    <t>PRINTED CLEAR LDPE 2KG BAGS</t>
  </si>
  <si>
    <t>550mm x 75um</t>
  </si>
  <si>
    <t>PLAIN WHITE LDPE BAGS</t>
  </si>
  <si>
    <t>365mm x 500mm x 50mm x 60um</t>
  </si>
  <si>
    <t>CAIRNS FOODS</t>
  </si>
  <si>
    <t>0326/141</t>
  </si>
  <si>
    <t>PLAIN BLUE LDPE BAGS</t>
  </si>
  <si>
    <t>0326/29</t>
  </si>
  <si>
    <t xml:space="preserve">VARICHEM </t>
  </si>
  <si>
    <t>140mm x 170mm x 30um</t>
  </si>
  <si>
    <t>450mm x 250m x 17um</t>
  </si>
  <si>
    <t>RW01</t>
  </si>
  <si>
    <t>CHALKMART</t>
  </si>
  <si>
    <t>PLAIN CLEAR SHRINKWRAP SHEETING</t>
  </si>
  <si>
    <t>TAKBET MANUFACTURING</t>
  </si>
  <si>
    <t>PRINTED WHITE LDPE MILKY AUTOPACK</t>
  </si>
  <si>
    <t>0326/170</t>
  </si>
  <si>
    <t>ENERGY BEV</t>
  </si>
  <si>
    <t>PRINTED WHITE LDPE CREAMY AUTOPACK</t>
  </si>
  <si>
    <t>325mm x 70um</t>
  </si>
  <si>
    <t>PLAIN CLEAR HAND PALLETWRAP</t>
  </si>
  <si>
    <t>PRINTED WHITE LDPE BANANA AUTOPACK</t>
  </si>
  <si>
    <t>PRINTED CLEAR BOPP C-FOLD</t>
  </si>
  <si>
    <t>0126/140</t>
  </si>
  <si>
    <t xml:space="preserve">INTRACHEM </t>
  </si>
  <si>
    <t>110mm x 1500mm x 60um</t>
  </si>
  <si>
    <t>0326/79</t>
  </si>
  <si>
    <t>PREMIUM LEA ZIM</t>
  </si>
  <si>
    <t>1220mm x 838mm x 1625mm x 45um</t>
  </si>
  <si>
    <t>0126/97</t>
  </si>
  <si>
    <t>154mm x 254mm x 25um</t>
  </si>
  <si>
    <t>0126/209</t>
  </si>
  <si>
    <t>CFO1</t>
  </si>
  <si>
    <t>440mm x 300mm x 30um</t>
  </si>
  <si>
    <t>0326/209</t>
  </si>
  <si>
    <t>225mm x 340mm x 50um</t>
  </si>
  <si>
    <t>COSMO BAKING</t>
  </si>
  <si>
    <t>0226/142</t>
  </si>
  <si>
    <t>MNANDY</t>
  </si>
  <si>
    <t>0326/237</t>
  </si>
  <si>
    <t>0326/220</t>
  </si>
  <si>
    <t>430mm x 550mm x 60um</t>
  </si>
  <si>
    <t>0326/223</t>
  </si>
  <si>
    <t>1025/90</t>
  </si>
  <si>
    <t>BIG COOLS</t>
  </si>
  <si>
    <t>PRINTED WHITE HDPE MENS BAGS</t>
  </si>
  <si>
    <t>0326/244</t>
  </si>
  <si>
    <t xml:space="preserve">STAR AFRICA </t>
  </si>
  <si>
    <t>180mm x 110mm x 600mm x 80um</t>
  </si>
  <si>
    <t>0226/197</t>
  </si>
  <si>
    <t>PRINTED WHITE HPPE B-FIRST BAGS</t>
  </si>
  <si>
    <t>290mm x 460mm x 30um</t>
  </si>
  <si>
    <t>0226/198</t>
  </si>
  <si>
    <t>PRINTED WHITE HDPE N-STAR BAGS</t>
  </si>
  <si>
    <t>330mm x 460mm x 30um</t>
  </si>
  <si>
    <t>0226/32</t>
  </si>
  <si>
    <t>500mm x 800mm x 75um</t>
  </si>
  <si>
    <t>0326/214</t>
  </si>
  <si>
    <t>0326/232</t>
  </si>
  <si>
    <t>DRUMMOND RANCHING</t>
  </si>
  <si>
    <t>PRINTED CLEAR LDPE VALUE PACK BAGS</t>
  </si>
  <si>
    <t>160mm x 290mm x 70um</t>
  </si>
  <si>
    <t>0326/246</t>
  </si>
  <si>
    <t>0326/191</t>
  </si>
  <si>
    <t>530mm x 650mm x 40um</t>
  </si>
  <si>
    <t>0326/250</t>
  </si>
  <si>
    <t xml:space="preserve">YELLOWCOB </t>
  </si>
  <si>
    <t>0125/72</t>
  </si>
  <si>
    <t>195mm x 330mm x 70um</t>
  </si>
  <si>
    <t>0226/176</t>
  </si>
  <si>
    <t>SQUIDOL ENTERPRISES</t>
  </si>
  <si>
    <t>245mm x 300mm x 40um</t>
  </si>
  <si>
    <t>0326/238</t>
  </si>
  <si>
    <t>480mm x 730mm x 110um</t>
  </si>
  <si>
    <t>0226/128</t>
  </si>
  <si>
    <t>PRINTED CLEAR LDPE 2.5KG ICE BAGS</t>
  </si>
  <si>
    <t>285mm x 460mm  x 70um</t>
  </si>
  <si>
    <t>200mm x 350mm x 30um</t>
  </si>
  <si>
    <t>0426/01</t>
  </si>
  <si>
    <t>0326/21</t>
  </si>
  <si>
    <t>SCHWEPPES ZIM</t>
  </si>
  <si>
    <t>EX08</t>
  </si>
  <si>
    <t>0226/186</t>
  </si>
  <si>
    <t>EDGARS STORES</t>
  </si>
  <si>
    <t>0326/200</t>
  </si>
  <si>
    <t>320mm x 460mm x 20um</t>
  </si>
  <si>
    <t>0326/212</t>
  </si>
  <si>
    <t>0326/153</t>
  </si>
  <si>
    <t xml:space="preserve">STOCK </t>
  </si>
  <si>
    <t>0326/221</t>
  </si>
  <si>
    <t>1226/178</t>
  </si>
  <si>
    <t>115mm x 160mm x 30um</t>
  </si>
  <si>
    <t>0426/15</t>
  </si>
  <si>
    <t>PLAIN CLEAR LL HANDPALETWRAP</t>
  </si>
  <si>
    <t>0326/190</t>
  </si>
  <si>
    <t>940mm x 1700mm x 100um</t>
  </si>
  <si>
    <t>0326/199</t>
  </si>
  <si>
    <t>240mm x 380mm x 40um</t>
  </si>
  <si>
    <t>0326/202</t>
  </si>
  <si>
    <t>0426/18</t>
  </si>
  <si>
    <t>290mm x 450mm x 75um</t>
  </si>
  <si>
    <t>0326/53</t>
  </si>
  <si>
    <t>110mm x 100mm x 250mm x 70um</t>
  </si>
  <si>
    <t>PRINTED WHITE HDPE N-STAR LARGE BAGS</t>
  </si>
  <si>
    <t>REW02</t>
  </si>
  <si>
    <t>0126/153</t>
  </si>
  <si>
    <t>0326/85</t>
  </si>
  <si>
    <t>PRINTED CLEAR LDPE 10 x 200g BAGS</t>
  </si>
  <si>
    <t>390mm x 490mm x 50um</t>
  </si>
  <si>
    <t>0226/55</t>
  </si>
  <si>
    <t>318mm x 485mm x 60um</t>
  </si>
  <si>
    <t>0426/31</t>
  </si>
  <si>
    <t>EVERYDAY PEANUT BUTTER</t>
  </si>
  <si>
    <t>320mm x 450mm x 80um</t>
  </si>
  <si>
    <t>CF01</t>
  </si>
  <si>
    <t>0326/146</t>
  </si>
  <si>
    <t>GOLDEN TASTY</t>
  </si>
  <si>
    <t>0226/125</t>
  </si>
  <si>
    <t>250mm x 130mm x 570mm x 40um</t>
  </si>
  <si>
    <t>0326/205</t>
  </si>
  <si>
    <t>480mm x 230mm x 850mm x 80um</t>
  </si>
  <si>
    <t>0426/35</t>
  </si>
  <si>
    <t>180mm x 275mm x 45um</t>
  </si>
  <si>
    <t>480mm x 230mm x 850mm x 40um</t>
  </si>
  <si>
    <t>0326/245</t>
  </si>
  <si>
    <t xml:space="preserve">POLYOAK </t>
  </si>
  <si>
    <t>560mm x 285mm x 1480mm x 40um</t>
  </si>
  <si>
    <t>0426/13</t>
  </si>
  <si>
    <t>RANMINE</t>
  </si>
  <si>
    <t>290mm x 480mm x 60um</t>
  </si>
  <si>
    <t>0326/135</t>
  </si>
  <si>
    <t>230mm x 320mm x 100um</t>
  </si>
  <si>
    <t>0326/92</t>
  </si>
  <si>
    <t>CRYSTAL CANDY</t>
  </si>
  <si>
    <t xml:space="preserve">PRINTED 1KG CLEAR AUTOPACK </t>
  </si>
  <si>
    <t>535mm x 55um</t>
  </si>
  <si>
    <t>260mm x 150mm x 500mm x 25um</t>
  </si>
  <si>
    <t>0226/124</t>
  </si>
  <si>
    <t>0426/07</t>
  </si>
  <si>
    <t xml:space="preserve">AUTHENTIC </t>
  </si>
  <si>
    <t>PRINTED CLEAR BOPP AUTOPACK</t>
  </si>
  <si>
    <t>265mm x 30um</t>
  </si>
  <si>
    <t>0226/133</t>
  </si>
  <si>
    <t>ICY BLISS</t>
  </si>
  <si>
    <t>PRINTED BLUE LDPE BAGS</t>
  </si>
  <si>
    <t>280mm x 650mm x 80um</t>
  </si>
  <si>
    <t>0126/210</t>
  </si>
  <si>
    <t>250mm x 640mm x 80um</t>
  </si>
  <si>
    <t>PLAIN BLACK LDPE BINLINERS</t>
  </si>
  <si>
    <t>750mm x 950mm x 30um</t>
  </si>
  <si>
    <t>0226/181</t>
  </si>
  <si>
    <t>210mm x 295mm x 60um</t>
  </si>
  <si>
    <t>0326/240</t>
  </si>
  <si>
    <t>EIPC MANUFACTURERS</t>
  </si>
  <si>
    <t>PRINTED YELLOW LDPE AUTOPACK</t>
  </si>
  <si>
    <t>0326/192</t>
  </si>
  <si>
    <t>320mm x 650mm x 40um</t>
  </si>
  <si>
    <t>BM26</t>
  </si>
  <si>
    <t>0126/03</t>
  </si>
  <si>
    <t>295mm x 440mm x 20um</t>
  </si>
  <si>
    <t>EX04</t>
  </si>
  <si>
    <t>0326/24</t>
  </si>
  <si>
    <t>0426/52</t>
  </si>
  <si>
    <t>1000mm x 50um</t>
  </si>
  <si>
    <t>0426/61</t>
  </si>
  <si>
    <t>MAHMOUD</t>
  </si>
  <si>
    <t>PLAIN CLEAR LDPE SHEETING</t>
  </si>
  <si>
    <t>1200mm x 150um</t>
  </si>
  <si>
    <t>0426/36</t>
  </si>
  <si>
    <t>PLAIN CLEAR LDPE SHRINKWRAP SHEETING</t>
  </si>
  <si>
    <t>0426/54</t>
  </si>
  <si>
    <t>INTRACHEM</t>
  </si>
  <si>
    <t>390mm x 400mm x 100um</t>
  </si>
  <si>
    <t>EX09</t>
  </si>
  <si>
    <t>0326/219</t>
  </si>
  <si>
    <t>ADLEBON</t>
  </si>
  <si>
    <t>1350mm x 100um</t>
  </si>
  <si>
    <t>0326/249</t>
  </si>
  <si>
    <t>SIMPLY ICE</t>
  </si>
  <si>
    <t>PLAIN CLEAR LDPE ICE BAGS</t>
  </si>
  <si>
    <t>275mm x 460mm x 80um</t>
  </si>
  <si>
    <t>1225/147</t>
  </si>
  <si>
    <t>OZONE ICE</t>
  </si>
  <si>
    <t>200mm x 610mm x 50um</t>
  </si>
  <si>
    <t>0426/32</t>
  </si>
  <si>
    <t>BOND MASTER</t>
  </si>
  <si>
    <t>315mm x 650mm x 100um</t>
  </si>
  <si>
    <t>0326/49</t>
  </si>
  <si>
    <t xml:space="preserve">FOOD BASKET </t>
  </si>
  <si>
    <t>PRINTED WHITE HDPE CARRIER BAGS</t>
  </si>
  <si>
    <t>380mm x 250mm x 650mm x 40um</t>
  </si>
  <si>
    <t>0426/38</t>
  </si>
  <si>
    <t>THE WATTLE COMPANY</t>
  </si>
  <si>
    <t>604mm x 1010mm x 50um</t>
  </si>
  <si>
    <t>0426/74</t>
  </si>
  <si>
    <t>423mm x 465mm x 60um</t>
  </si>
  <si>
    <t>1225/178</t>
  </si>
  <si>
    <t>0326/54</t>
  </si>
  <si>
    <t>ROYAL ADHESIVES</t>
  </si>
  <si>
    <t>360mm x 560mm x 100um</t>
  </si>
  <si>
    <t>0426/66</t>
  </si>
  <si>
    <t>930mm x 150mm x 1480mm x 50um</t>
  </si>
  <si>
    <t>SQUIDOL ENT</t>
  </si>
  <si>
    <t>145mm x 300mm x 40mm x 35um</t>
  </si>
  <si>
    <t>0326/181</t>
  </si>
  <si>
    <t>0426/04</t>
  </si>
  <si>
    <t>BUILDERS HARDWARE</t>
  </si>
  <si>
    <t>0326/248</t>
  </si>
  <si>
    <t>SIMPLY ICY</t>
  </si>
  <si>
    <t>0426/62</t>
  </si>
  <si>
    <t>DIRECTORY PUBLISHERS</t>
  </si>
  <si>
    <t>350mm x 35um</t>
  </si>
  <si>
    <t>PLAIN CLEAR LDPE SHRINK SHEETING</t>
  </si>
  <si>
    <t>1225/146</t>
  </si>
  <si>
    <t>220mm x 410mm x 50um</t>
  </si>
  <si>
    <t>0426/60</t>
  </si>
  <si>
    <t>LAFARGE CEMENT</t>
  </si>
  <si>
    <t>PRINTED WHITE LDPE 1KG BAGS</t>
  </si>
  <si>
    <t>210mm x 300mm x 100um</t>
  </si>
  <si>
    <t>PRINTED WHITE LDPE 20KG BAGS</t>
  </si>
  <si>
    <t>0426/92</t>
  </si>
  <si>
    <t>UNLIMITED PACKAGING</t>
  </si>
  <si>
    <t>PLAIN CLEAR BOPP SHEETING</t>
  </si>
  <si>
    <t>365mm x 20um</t>
  </si>
  <si>
    <t>0426/41</t>
  </si>
  <si>
    <t xml:space="preserve">SHREYA </t>
  </si>
  <si>
    <t>1400mm x 770mm x 60um</t>
  </si>
  <si>
    <t>0426/29</t>
  </si>
  <si>
    <t>PLAINCORP</t>
  </si>
  <si>
    <t>1850mm x 60um</t>
  </si>
  <si>
    <t>0426/28</t>
  </si>
  <si>
    <t>1700mm x 60um</t>
  </si>
  <si>
    <t>1650mm x 30um</t>
  </si>
  <si>
    <t>0426/30</t>
  </si>
  <si>
    <t>1350mm x 60um</t>
  </si>
  <si>
    <t>0426/24</t>
  </si>
  <si>
    <t>0426/26</t>
  </si>
  <si>
    <t>1250mm x 60um</t>
  </si>
  <si>
    <t>0426/42</t>
  </si>
  <si>
    <t>1350mm x 80um</t>
  </si>
  <si>
    <t>0226/60</t>
  </si>
  <si>
    <t>0426/107</t>
  </si>
  <si>
    <t>140mm x 175mm x 30um</t>
  </si>
  <si>
    <t>0426/67</t>
  </si>
  <si>
    <t>972mm x 278mm x 1550mm x 40um</t>
  </si>
  <si>
    <t>0326/234</t>
  </si>
  <si>
    <t>260mm x 140mm x 730mm x 60um</t>
  </si>
  <si>
    <t>0326/228</t>
  </si>
  <si>
    <t>SHADARICK</t>
  </si>
  <si>
    <t>130mm x 165mm x 30um</t>
  </si>
  <si>
    <t>1225/85</t>
  </si>
  <si>
    <t>165mm x 80mm x 330mm x 30um</t>
  </si>
  <si>
    <t>0425/101</t>
  </si>
  <si>
    <t>STAR AFRICA</t>
  </si>
  <si>
    <t>180mm x 110mm x 600mm x 50um</t>
  </si>
  <si>
    <t>0426/97</t>
  </si>
  <si>
    <t xml:space="preserve">HILLBIG </t>
  </si>
  <si>
    <t>200mm x 110mm x 600mm x 70um</t>
  </si>
  <si>
    <t>0426/63</t>
  </si>
  <si>
    <t>YELLOWCOB</t>
  </si>
  <si>
    <t>450mm x 60um</t>
  </si>
  <si>
    <t>0426/96</t>
  </si>
  <si>
    <t>CANGROW</t>
  </si>
  <si>
    <t>580mm x 95um</t>
  </si>
  <si>
    <t>0426/94</t>
  </si>
  <si>
    <t>0426/105</t>
  </si>
  <si>
    <t xml:space="preserve">GOODNIGHT </t>
  </si>
  <si>
    <t>1400mm x 770mm x 80um</t>
  </si>
  <si>
    <t>0426/44</t>
  </si>
  <si>
    <t>1530mm x 300mm 2300mm x 80um</t>
  </si>
  <si>
    <t>0426/43</t>
  </si>
  <si>
    <t>1300mm x 390mm x 2300mm x 80um</t>
  </si>
  <si>
    <t>0126/279</t>
  </si>
  <si>
    <t>PLAIN BLACK LDPE BAGS</t>
  </si>
  <si>
    <t>320mm x 420mm x 30um</t>
  </si>
  <si>
    <t>RW02</t>
  </si>
  <si>
    <t>0326/84</t>
  </si>
  <si>
    <t>550mm x 30um</t>
  </si>
  <si>
    <t>0426/99</t>
  </si>
  <si>
    <t>VESTCASH</t>
  </si>
  <si>
    <t>380mm x 20um</t>
  </si>
  <si>
    <t>0326/230</t>
  </si>
  <si>
    <t>DRUMMOND</t>
  </si>
  <si>
    <t>PRINTED CLEAR LDPE WHOLE BIRD BAGS</t>
  </si>
  <si>
    <t>210mm x 410mm x 70um</t>
  </si>
  <si>
    <t>0426/103</t>
  </si>
  <si>
    <t>ABOVE MEALERS</t>
  </si>
  <si>
    <t>0226/50</t>
  </si>
  <si>
    <t xml:space="preserve">ACTIVE CHEMICALS </t>
  </si>
  <si>
    <t>PRINTED GREY LDPE BAGS</t>
  </si>
  <si>
    <t>150mm x 200mm x 50um</t>
  </si>
  <si>
    <t>0426/56</t>
  </si>
  <si>
    <t>R CHITENGA</t>
  </si>
  <si>
    <t>PRINTED GREEN LDPE BAGS</t>
  </si>
  <si>
    <t>350mm x 560mm x 100um</t>
  </si>
  <si>
    <t>0426/46</t>
  </si>
  <si>
    <t>300mm x 440mm x 50um</t>
  </si>
  <si>
    <t>0426/49</t>
  </si>
  <si>
    <t>230mm x 500mm x 50um</t>
  </si>
  <si>
    <t>0326/168</t>
  </si>
  <si>
    <t>190mm x 120mm x 490mm x 100um</t>
  </si>
  <si>
    <t>0426/</t>
  </si>
  <si>
    <t>EVERYDAY</t>
  </si>
  <si>
    <t xml:space="preserve">PLAIN HAND PALLETWRAP </t>
  </si>
  <si>
    <t>0225/149</t>
  </si>
  <si>
    <t>PRINTED CLEAR LDPE 1KG AUTOPACK</t>
  </si>
  <si>
    <t>0326/14</t>
  </si>
  <si>
    <t>0426/12</t>
  </si>
  <si>
    <t>190mm x 300mm x 20um</t>
  </si>
  <si>
    <t>0326/86</t>
  </si>
  <si>
    <t xml:space="preserve">PLAIN BLACK LDPE BINLINERS </t>
  </si>
  <si>
    <t>780mm x 950mm x 30um</t>
  </si>
  <si>
    <t>0126/198</t>
  </si>
  <si>
    <t>225mm x 340mm x 20um</t>
  </si>
  <si>
    <t>0426/47</t>
  </si>
  <si>
    <t>300mm x 450mm x 40um</t>
  </si>
  <si>
    <t>0426/108</t>
  </si>
  <si>
    <t>500mm x 550mm x 75um</t>
  </si>
  <si>
    <t>0326/149</t>
  </si>
  <si>
    <t>0426/131</t>
  </si>
  <si>
    <t xml:space="preserve">COOL CRYSTAL </t>
  </si>
  <si>
    <t>300mm x 120mm x 800mm x 70um</t>
  </si>
  <si>
    <t>0426/126</t>
  </si>
  <si>
    <t>MEDICAL INVESTMENTS</t>
  </si>
  <si>
    <t>480mm x 230mm x 900mm x 40um</t>
  </si>
  <si>
    <t>0426/06</t>
  </si>
  <si>
    <t xml:space="preserve">WOLA AFRICA </t>
  </si>
  <si>
    <t>PRINTED CLEAR 2.5KG CUBES BAGS</t>
  </si>
  <si>
    <t>290mm x 500mm x 70um</t>
  </si>
  <si>
    <t>0326/36</t>
  </si>
  <si>
    <t>BOOST HAIL &amp; COTTON</t>
  </si>
  <si>
    <t>1220mm x 838mm x 1626mm x 50um</t>
  </si>
  <si>
    <t>1025/135</t>
  </si>
  <si>
    <t>DAIRIBORD</t>
  </si>
  <si>
    <t>115mm x 245mm x 30um</t>
  </si>
  <si>
    <t>S MUTASA</t>
  </si>
  <si>
    <t>PLAIN CLEAR BOPP BAGS</t>
  </si>
  <si>
    <t>EX19</t>
  </si>
  <si>
    <t xml:space="preserve">EDGARS STORES </t>
  </si>
  <si>
    <t>PLAIN NATURAL HDPE TUBING</t>
  </si>
  <si>
    <t>2000mm x 35um</t>
  </si>
  <si>
    <t>0426/48</t>
  </si>
  <si>
    <t>600mm x 900mm x 20um</t>
  </si>
  <si>
    <t>0426/57</t>
  </si>
  <si>
    <t xml:space="preserve">R . CHITENGA </t>
  </si>
  <si>
    <t>0426/133</t>
  </si>
  <si>
    <t xml:space="preserve">DAVID WHITE HEAD </t>
  </si>
  <si>
    <t>400mm x 1900mm x 40um</t>
  </si>
  <si>
    <t>0426/134</t>
  </si>
  <si>
    <t>350mm x 1900mm x 40um</t>
  </si>
  <si>
    <t>0326/241</t>
  </si>
  <si>
    <t>MNANDY BAKERIES</t>
  </si>
  <si>
    <t>0426/70</t>
  </si>
  <si>
    <t>210mm x 300mm x 30um</t>
  </si>
  <si>
    <t>PRINTED CLEAR BOPP AUTOPACK 10KG ROLLERMEAL</t>
  </si>
  <si>
    <t>0426/142</t>
  </si>
  <si>
    <t>325mm x 550mm x 20um</t>
  </si>
  <si>
    <t>0426/120</t>
  </si>
  <si>
    <t>PREMIUM LEAF TOBACCO</t>
  </si>
  <si>
    <t>0426/55</t>
  </si>
  <si>
    <t xml:space="preserve">PARAMASH </t>
  </si>
  <si>
    <t>PRINTED YELLOW LDPE BAGS</t>
  </si>
  <si>
    <t>0426/135</t>
  </si>
  <si>
    <t>BLACK SOIL</t>
  </si>
  <si>
    <t>280mm x 20um</t>
  </si>
  <si>
    <t>0426/21</t>
  </si>
  <si>
    <t>REGINSMO</t>
  </si>
  <si>
    <t>0326/242</t>
  </si>
  <si>
    <t>135mm x 330mm x 30um</t>
  </si>
  <si>
    <t>PRINTED WHITE BOPP SHEETING</t>
  </si>
  <si>
    <t>0426/132</t>
  </si>
  <si>
    <t>EPIC MANUFACTURERS</t>
  </si>
  <si>
    <t>PRINTED WHITE LDPE AUTOPACK (banana)</t>
  </si>
  <si>
    <t>0426/140</t>
  </si>
  <si>
    <t>0226/179</t>
  </si>
  <si>
    <t>PRINTED CLEAR LDPE 5KG MR CHANDO ICE BAGS</t>
  </si>
  <si>
    <t>285mm x 650mm x 70um</t>
  </si>
  <si>
    <t>0426/65</t>
  </si>
  <si>
    <t>MZIMAKO</t>
  </si>
  <si>
    <t>245mm x 420mm x 100um</t>
  </si>
  <si>
    <t>0426/17</t>
  </si>
  <si>
    <t>PRINTED BLUE LDPE ICE BAGS</t>
  </si>
  <si>
    <t>365mm x 800mm x 50mm x 60um</t>
  </si>
  <si>
    <t>0326/64</t>
  </si>
  <si>
    <t>0426/93</t>
  </si>
  <si>
    <t>0126/241</t>
  </si>
  <si>
    <t>DIBCON PBC</t>
  </si>
  <si>
    <t>295mm x 80mm x 560mm x 120um</t>
  </si>
  <si>
    <t>EX05</t>
  </si>
  <si>
    <t>0426/161</t>
  </si>
  <si>
    <t>0326/186</t>
  </si>
  <si>
    <t>FARMER JAYS</t>
  </si>
  <si>
    <t>190mm x 300mm x 40um</t>
  </si>
  <si>
    <t>0426/02</t>
  </si>
  <si>
    <t>780mm x 660mm x 1620mm x 80um</t>
  </si>
  <si>
    <t>100mm x 180mm x 40um</t>
  </si>
  <si>
    <t>0426/58</t>
  </si>
  <si>
    <t>DAYFRO</t>
  </si>
  <si>
    <t>PRINTED WHITE LDPE 20KG PORCELAN BAGS</t>
  </si>
  <si>
    <t>370mm x 560mm x 120um</t>
  </si>
  <si>
    <t>0426/22</t>
  </si>
  <si>
    <t xml:space="preserve">MILLMORE </t>
  </si>
  <si>
    <t>440mm x 350mm x 700mm x 60um</t>
  </si>
  <si>
    <t>0426/100</t>
  </si>
  <si>
    <t>ALISTER FOODS</t>
  </si>
  <si>
    <t>PRINTED CLEAR BOPP 20KG ROLLER MEAL AUTOPACK</t>
  </si>
  <si>
    <t>430mm x 20um</t>
  </si>
  <si>
    <t>SANVALLEY</t>
  </si>
  <si>
    <t>310mm x 30um</t>
  </si>
  <si>
    <t>0426/125</t>
  </si>
  <si>
    <t>150mm x 70um</t>
  </si>
  <si>
    <t>0426/147</t>
  </si>
  <si>
    <t>BRITISH AMERICAN TOBACCO</t>
  </si>
  <si>
    <t>1220mm x 838mm x 1626mm x 75um</t>
  </si>
  <si>
    <t>BM04</t>
  </si>
  <si>
    <t>0426/157</t>
  </si>
  <si>
    <t>0426/158</t>
  </si>
  <si>
    <t>0426/116</t>
  </si>
  <si>
    <t>THORNTON</t>
  </si>
  <si>
    <t>PRINTED CLEAR LDPE 1KG SALT BAGS</t>
  </si>
  <si>
    <t>135mm x 250mm x 60um</t>
  </si>
  <si>
    <t>0226/49</t>
  </si>
  <si>
    <t xml:space="preserve">CHEMPLEX </t>
  </si>
  <si>
    <t>125mm x 165mm x 35um</t>
  </si>
  <si>
    <t>PRINTED LAMINATED CLEAR BOPP BAGS</t>
  </si>
  <si>
    <t>0426/164</t>
  </si>
  <si>
    <t xml:space="preserve">RANMINE </t>
  </si>
  <si>
    <t>0126/69</t>
  </si>
  <si>
    <t>375mm x 55um</t>
  </si>
  <si>
    <t>0426/45</t>
  </si>
  <si>
    <t>450mm x 700mm x 30um</t>
  </si>
  <si>
    <t>0426/141</t>
  </si>
  <si>
    <t>PLAIN WHITE HDPE CARRIER BAGS</t>
  </si>
  <si>
    <t>260mm x 140mm x 460mm x 30um</t>
  </si>
  <si>
    <t>0426/176</t>
  </si>
  <si>
    <t>ABOVE MILLERS</t>
  </si>
  <si>
    <t>0426/153</t>
  </si>
  <si>
    <t>DASHCOMS</t>
  </si>
  <si>
    <t>PLAIN CLEAR LDPE COVERS</t>
  </si>
  <si>
    <t>450mm x 18um</t>
  </si>
  <si>
    <t>VARICHEM</t>
  </si>
  <si>
    <t>0326/01</t>
  </si>
  <si>
    <t xml:space="preserve">B H C </t>
  </si>
  <si>
    <t>0426/59</t>
  </si>
  <si>
    <t>PERFECT TILLING</t>
  </si>
  <si>
    <t>0426/165</t>
  </si>
  <si>
    <t>290mm x 450mm x 60um</t>
  </si>
  <si>
    <t xml:space="preserve">ROYAL ADHESIVES </t>
  </si>
  <si>
    <t>0426/169</t>
  </si>
  <si>
    <t>PLAIN CLEAR BOPP C-FOLD</t>
  </si>
  <si>
    <t>0426/136</t>
  </si>
  <si>
    <t>PLAIN CLEAR LDPE RC BAGS</t>
  </si>
  <si>
    <t>450mm x 700mm x 40um</t>
  </si>
  <si>
    <t>0326/229</t>
  </si>
  <si>
    <t>CLASSIC ICE</t>
  </si>
  <si>
    <t>PRINTED CLEAR LDPE 5KG BAGS</t>
  </si>
  <si>
    <t>285mm x 650mm x 80um</t>
  </si>
  <si>
    <t>0426/155</t>
  </si>
  <si>
    <t>MUPEDZANZARA</t>
  </si>
  <si>
    <t>DAYFRO CONSTRUCTION</t>
  </si>
  <si>
    <t>0426/08</t>
  </si>
  <si>
    <t>0326/211</t>
  </si>
  <si>
    <t>620mm x 450mm x 930mm x 30um</t>
  </si>
  <si>
    <t>0326/193</t>
  </si>
  <si>
    <t>PLAINCLEAR LDPE BAGS</t>
  </si>
  <si>
    <t>457mm x 203mm x 938mm x 125um</t>
  </si>
  <si>
    <t>0426/110</t>
  </si>
  <si>
    <t>WAVE MARKETING</t>
  </si>
  <si>
    <t>270mm x 290mm x 50mm x 40um</t>
  </si>
  <si>
    <t>0426/160</t>
  </si>
  <si>
    <t xml:space="preserve">WATSIKAYI </t>
  </si>
  <si>
    <t>PRINTED CLEAR LDPE DELUXE 4 PACK BAGS</t>
  </si>
  <si>
    <t>265mm x 280mm x 55mm x 45um</t>
  </si>
  <si>
    <t>0426/159</t>
  </si>
  <si>
    <t>PRINTED CLEAR LDPE CLASSIC 4 PACK BAGS</t>
  </si>
  <si>
    <t>0426/182</t>
  </si>
  <si>
    <t>1400mm x 800mm x 80um</t>
  </si>
  <si>
    <t>0426/81</t>
  </si>
  <si>
    <t>1115mm x 80um</t>
  </si>
  <si>
    <t>0426/150</t>
  </si>
  <si>
    <t>PLAIN BLACK LDPE SHEETING</t>
  </si>
  <si>
    <t>2.4m x 100m x 250um</t>
  </si>
  <si>
    <t>0426/214</t>
  </si>
  <si>
    <t>PACKAGING HUB</t>
  </si>
  <si>
    <t>0426/208</t>
  </si>
  <si>
    <t>SIMPLY  ICY</t>
  </si>
  <si>
    <t>PRINTED CLEAR 2.5KG BAGS</t>
  </si>
  <si>
    <t>0326/247</t>
  </si>
  <si>
    <t>0326/173</t>
  </si>
  <si>
    <t xml:space="preserve">TRONFRESH </t>
  </si>
  <si>
    <t>PRINTED WHITE LDPE AUTOPACK BANANA</t>
  </si>
  <si>
    <t>BM01</t>
  </si>
  <si>
    <t>0426/109</t>
  </si>
  <si>
    <t>0426/179</t>
  </si>
  <si>
    <t xml:space="preserve">AGUA da SERRA </t>
  </si>
  <si>
    <t>450mm x 70um</t>
  </si>
  <si>
    <t>0426/149</t>
  </si>
  <si>
    <t>0426/210</t>
  </si>
  <si>
    <t>EX15</t>
  </si>
  <si>
    <t>0426/180</t>
  </si>
  <si>
    <t>1160mm x 60um</t>
  </si>
  <si>
    <t>0426/185</t>
  </si>
  <si>
    <t>3m x 100m x 125um</t>
  </si>
  <si>
    <t>1200mm x 100m x 250um</t>
  </si>
  <si>
    <t>0426/50</t>
  </si>
  <si>
    <t>1200mm x 50m x 250um</t>
  </si>
  <si>
    <t>EX02</t>
  </si>
  <si>
    <t>0426/154</t>
  </si>
  <si>
    <t>PLAIN WHITE LDPE TUBING</t>
  </si>
  <si>
    <t>100mm x 60um</t>
  </si>
  <si>
    <t>0426/183</t>
  </si>
  <si>
    <t>2m x 100m x 100um</t>
  </si>
  <si>
    <t>0426/226</t>
  </si>
  <si>
    <t>1500mm x 100m x 75um</t>
  </si>
  <si>
    <t>0226/138</t>
  </si>
  <si>
    <t>PRINTED CLEAR LDPE ICE BAGS</t>
  </si>
  <si>
    <t>0426/156</t>
  </si>
  <si>
    <t>AFRIBAGS</t>
  </si>
  <si>
    <t>350mm x 20um</t>
  </si>
  <si>
    <t>0426/129</t>
  </si>
  <si>
    <t>PRINTED CLEAR LDPE 2.5KG BAGS</t>
  </si>
  <si>
    <t xml:space="preserve">PLAIN CLEAR LDPE BAGS </t>
  </si>
  <si>
    <t>0426/249</t>
  </si>
  <si>
    <t>0426/167</t>
  </si>
  <si>
    <t>EX11</t>
  </si>
  <si>
    <t>0426/199</t>
  </si>
  <si>
    <t>50mm x 65um</t>
  </si>
  <si>
    <t>0126/221</t>
  </si>
  <si>
    <t>GOODNIGHT</t>
  </si>
  <si>
    <t>0426/219</t>
  </si>
  <si>
    <t>1530mm x 300mm x 80um</t>
  </si>
  <si>
    <t>1300mm x 390mm x 2300mm x 70um</t>
  </si>
  <si>
    <t>0226/177</t>
  </si>
  <si>
    <t>285mm x 500mm x 80um</t>
  </si>
  <si>
    <t>0426/137</t>
  </si>
  <si>
    <t>0426/119</t>
  </si>
  <si>
    <t>MASHONALAND</t>
  </si>
  <si>
    <t>730mm x 430mm x 1180mm x 75um</t>
  </si>
  <si>
    <t>0426/225</t>
  </si>
  <si>
    <t>320mm x 450mm x 100um</t>
  </si>
  <si>
    <t>0426/128</t>
  </si>
  <si>
    <t>REPOQUAD</t>
  </si>
  <si>
    <t>530mm x 745mm x 100um</t>
  </si>
  <si>
    <t>0426/216</t>
  </si>
  <si>
    <t>JEHOVAS WITNESS</t>
  </si>
  <si>
    <t>265mm x 145mm x 490mm x 30um</t>
  </si>
  <si>
    <t>0526/11</t>
  </si>
  <si>
    <t>MOLLSON</t>
  </si>
  <si>
    <t>PLAIN CLEAR LDPE SHRINK</t>
  </si>
  <si>
    <t>460mm x 40um</t>
  </si>
  <si>
    <t>3750mm x 55um</t>
  </si>
  <si>
    <t>0426/127</t>
  </si>
  <si>
    <t>0426/71</t>
  </si>
  <si>
    <t>430mm x 140mm x 515mm x 125um</t>
  </si>
  <si>
    <t>GENIA HYGIENE</t>
  </si>
  <si>
    <t>390mm x 200mm x 920mm x 60um</t>
  </si>
  <si>
    <t>0226/180</t>
  </si>
  <si>
    <t>PRINTED CLEAR 5KG ICE BAGS</t>
  </si>
  <si>
    <t>280mm x 650mm x 70um</t>
  </si>
  <si>
    <t>WOLA AFRICA</t>
  </si>
  <si>
    <t>0426/174</t>
  </si>
  <si>
    <t>PRINTED CLEAR BOPP 5KG AUTOPACK</t>
  </si>
  <si>
    <t>270mm x 20um</t>
  </si>
  <si>
    <t>0426/05</t>
  </si>
  <si>
    <t>RICH &amp; CHAD</t>
  </si>
  <si>
    <t>450mm x 20um</t>
  </si>
  <si>
    <t>0526/16</t>
  </si>
  <si>
    <t xml:space="preserve">PACKAGING HUB </t>
  </si>
  <si>
    <t>0526/24</t>
  </si>
  <si>
    <t>225mm x 350mm x 40um</t>
  </si>
  <si>
    <t>0426/224</t>
  </si>
  <si>
    <t>FLYING COLOURS</t>
  </si>
  <si>
    <t>0426/146</t>
  </si>
  <si>
    <t>WYDAD INVESTMENTS</t>
  </si>
  <si>
    <t>GOOD NINGHT BEDDING</t>
  </si>
  <si>
    <t>1530mm x 300mm x 2300mm x 80um</t>
  </si>
  <si>
    <t>0426/171</t>
  </si>
  <si>
    <t>FREDDY HIRSCH</t>
  </si>
  <si>
    <t>400mm x 130mm x 900mm x 100um</t>
  </si>
  <si>
    <t>0526/15</t>
  </si>
  <si>
    <t xml:space="preserve">MCMITY </t>
  </si>
  <si>
    <t>PLAIN EMBOSSED SHEETING</t>
  </si>
  <si>
    <t>500mm x 70um</t>
  </si>
  <si>
    <t>0426/98</t>
  </si>
  <si>
    <t xml:space="preserve">KADIRO </t>
  </si>
  <si>
    <t>PROINTED LAMINATED BOPP AUTOPACK 2KG SMART GRAINS</t>
  </si>
  <si>
    <t>470mm x 72um</t>
  </si>
  <si>
    <t>0526/02</t>
  </si>
  <si>
    <t>GLOBAL REFINERIES</t>
  </si>
  <si>
    <t>PRINTED CLEAR BOPP 10KG AUTOPACK</t>
  </si>
  <si>
    <t>0526/27</t>
  </si>
  <si>
    <t>INNOCENT KUNYANYA</t>
  </si>
  <si>
    <t>PLAIN CLEAR LDPE RC TUBING</t>
  </si>
  <si>
    <t>920mm x 40um</t>
  </si>
  <si>
    <t>0426/207</t>
  </si>
  <si>
    <t>FOOD BASKET</t>
  </si>
  <si>
    <t>250mm x 140mm x 500mm x 30um</t>
  </si>
  <si>
    <t>0426/130</t>
  </si>
  <si>
    <t>THE BUILDERS BAN</t>
  </si>
  <si>
    <t>PRINTED WHITE LDPE 20KG CERAMIC BAGS</t>
  </si>
  <si>
    <t>0426/170</t>
  </si>
  <si>
    <t>VICTORIA FOODS</t>
  </si>
  <si>
    <t xml:space="preserve">PRINTED LAMINATED BAGS </t>
  </si>
  <si>
    <t>215mm x 305mm x 92um</t>
  </si>
  <si>
    <t>0426/223</t>
  </si>
  <si>
    <t>AFRICAN THREADS</t>
  </si>
  <si>
    <t>300mm x 350mm x 20um</t>
  </si>
  <si>
    <t>0426/68</t>
  </si>
  <si>
    <t xml:space="preserve">PROCHEM </t>
  </si>
  <si>
    <t xml:space="preserve">PLAIN CLEAR LDPE SHRINKWRAP </t>
  </si>
  <si>
    <t>310mm x 75um</t>
  </si>
  <si>
    <t>0526/30</t>
  </si>
  <si>
    <t>450mm x 30um</t>
  </si>
  <si>
    <t>0526/31</t>
  </si>
  <si>
    <t>0526/18</t>
  </si>
  <si>
    <t>PRINTED BOPP SHEETING</t>
  </si>
  <si>
    <t>0126/184</t>
  </si>
  <si>
    <t>PLAIN GREEN ICE BAGS</t>
  </si>
  <si>
    <t>230mm x 530mm x 80um</t>
  </si>
  <si>
    <t>0526/32</t>
  </si>
  <si>
    <t xml:space="preserve">HONEY SIP </t>
  </si>
  <si>
    <t>0426/204</t>
  </si>
  <si>
    <t>PLAIN GREEN LDPE CARRIER BAGS</t>
  </si>
  <si>
    <t>380mm x 200mm x 600mm x 35um</t>
  </si>
  <si>
    <t>0426/212</t>
  </si>
  <si>
    <t>TRONFRESH</t>
  </si>
  <si>
    <t>PRINTED WHITE LDPE AUTOPACK (CREAMY)</t>
  </si>
  <si>
    <t>0426/211</t>
  </si>
  <si>
    <t>PRINTED WHITE LDPE AUTOPACK (BANANA)</t>
  </si>
  <si>
    <t>0526/13</t>
  </si>
  <si>
    <t xml:space="preserve">BIG COOLS </t>
  </si>
  <si>
    <t>PRINTED CLEAR LDE AUTPACK</t>
  </si>
  <si>
    <t>0526/17</t>
  </si>
  <si>
    <t>470mm x 650mm x 80mm x 160um</t>
  </si>
  <si>
    <t>0426/220</t>
  </si>
  <si>
    <t>GOODNIGHT BEDDING</t>
  </si>
  <si>
    <t>0526/36</t>
  </si>
  <si>
    <t>0526/12</t>
  </si>
  <si>
    <t>PLAIN SLEEVE BAGS</t>
  </si>
  <si>
    <t>0426/215</t>
  </si>
  <si>
    <t xml:space="preserve">PRINTED WHITE LDPE BUTTERSCOTCH </t>
  </si>
  <si>
    <t xml:space="preserve">KADIRO SEAL </t>
  </si>
  <si>
    <t>0526/04</t>
  </si>
  <si>
    <t xml:space="preserve">CRYSTAL CANDY </t>
  </si>
  <si>
    <t>70mm x 19um</t>
  </si>
  <si>
    <t>0426/203</t>
  </si>
  <si>
    <t>0526/34</t>
  </si>
  <si>
    <t xml:space="preserve">MNANDY BAKERIES </t>
  </si>
  <si>
    <t>PRINTED CLEAR BOPP AUTPACK</t>
  </si>
  <si>
    <t>240mm x 30um</t>
  </si>
  <si>
    <t>0526/143</t>
  </si>
  <si>
    <t>500mm x 550mm x 60um</t>
  </si>
  <si>
    <t>250mm x 370mm x 100um</t>
  </si>
  <si>
    <t>0326/68</t>
  </si>
  <si>
    <t>POWERSPEED</t>
  </si>
  <si>
    <t>500mm x 800mm x 100um</t>
  </si>
  <si>
    <t>0526/23</t>
  </si>
  <si>
    <t xml:space="preserve">CENTAPE </t>
  </si>
  <si>
    <t>350mm x 500mm x 30um</t>
  </si>
  <si>
    <t>0526/38</t>
  </si>
  <si>
    <t>POLYOAK</t>
  </si>
  <si>
    <t>0526/51</t>
  </si>
  <si>
    <t>1220mm x 838mm x 1626mm x 45um</t>
  </si>
  <si>
    <t>0526/</t>
  </si>
  <si>
    <t>MRS MUCHENJE</t>
  </si>
  <si>
    <t>75mm x 120mm x 70um</t>
  </si>
  <si>
    <t>PLAIN CORP</t>
  </si>
  <si>
    <t>0526/49</t>
  </si>
  <si>
    <t>0526/50</t>
  </si>
  <si>
    <t>0526/25</t>
  </si>
  <si>
    <t>0526/48</t>
  </si>
  <si>
    <t>0526/47</t>
  </si>
  <si>
    <t>1300mm x 60um</t>
  </si>
  <si>
    <t>0526/46</t>
  </si>
  <si>
    <t>0526/45</t>
  </si>
  <si>
    <t>1350mm x 30um</t>
  </si>
  <si>
    <t>0526/44</t>
  </si>
  <si>
    <t>1250mm x 30um</t>
  </si>
  <si>
    <t>0526/74</t>
  </si>
  <si>
    <t>240mm x 300mm x 40um</t>
  </si>
  <si>
    <t>0125/135</t>
  </si>
  <si>
    <t>DAIRIBOARD</t>
  </si>
  <si>
    <t>0526/65</t>
  </si>
  <si>
    <t>0326/69</t>
  </si>
  <si>
    <t>0426/102</t>
  </si>
  <si>
    <t>0426/200</t>
  </si>
  <si>
    <t>0526/73</t>
  </si>
  <si>
    <t>HONEY SIP</t>
  </si>
  <si>
    <t xml:space="preserve">PLAIN CLEAR SHRINKWRAP </t>
  </si>
  <si>
    <t>500mm x 550mm x 85um</t>
  </si>
  <si>
    <t>PLAIN BLACK PUNCH OUT BAGS</t>
  </si>
  <si>
    <t>0426/197</t>
  </si>
  <si>
    <t>400mm x 600mm x 25um</t>
  </si>
  <si>
    <t>0526/60</t>
  </si>
  <si>
    <t>BAKELS ZIM</t>
  </si>
  <si>
    <t>580mm x 940mm x 40um</t>
  </si>
  <si>
    <t>0426/186</t>
  </si>
  <si>
    <t>260mm x 130mm x 980mm x 60um</t>
  </si>
  <si>
    <t>0426/195</t>
  </si>
  <si>
    <t>0426/201</t>
  </si>
  <si>
    <t>350mm x 470mm x 60um</t>
  </si>
  <si>
    <t>0426/202</t>
  </si>
  <si>
    <t>400mm x 500mm x 60um</t>
  </si>
  <si>
    <t>0426/277</t>
  </si>
  <si>
    <t xml:space="preserve">MEGAPAK ZIM </t>
  </si>
  <si>
    <t>650mm x 275mm x 2120mm x 100um</t>
  </si>
  <si>
    <t>0426/104</t>
  </si>
  <si>
    <t>PRINTED YRLLOW LDPE BAGS</t>
  </si>
  <si>
    <t>0526/59</t>
  </si>
  <si>
    <t>365mm x 560mm x 90um</t>
  </si>
  <si>
    <t>0326/224</t>
  </si>
  <si>
    <t>ENERGY BEVERAGES</t>
  </si>
  <si>
    <t>PRINTED LDPE AUTOPACK CHOCOLATE</t>
  </si>
  <si>
    <t>PRINTED LDPE AUTOPACK BANANA</t>
  </si>
  <si>
    <t>0426/86</t>
  </si>
  <si>
    <t>0426/77</t>
  </si>
  <si>
    <t>0526/26</t>
  </si>
  <si>
    <t>PRINTED WHITE LDPE 5KG BAGS</t>
  </si>
  <si>
    <t>450mm x 250mm x 17um</t>
  </si>
  <si>
    <t>0526/98</t>
  </si>
  <si>
    <t>0426/111</t>
  </si>
  <si>
    <t>PRINTED WHITE HDPE B-FIRST BAGS</t>
  </si>
  <si>
    <t>PRINTED LAMINATED 2KG WHITE RICE BAGS</t>
  </si>
  <si>
    <t>0526/99</t>
  </si>
  <si>
    <t>VARIPLASTICS</t>
  </si>
  <si>
    <t>600mm x 500mm x 1350mm x 80um</t>
  </si>
  <si>
    <t>0526/83</t>
  </si>
  <si>
    <t>PRACTIMUS</t>
  </si>
  <si>
    <t>0526/91</t>
  </si>
  <si>
    <t xml:space="preserve">DASHCOMS </t>
  </si>
  <si>
    <t>0925/197</t>
  </si>
  <si>
    <t>318mm x 385mm x 60um</t>
  </si>
  <si>
    <t>0526/85</t>
  </si>
  <si>
    <t>0526/112</t>
  </si>
  <si>
    <t>THE PACKAGING</t>
  </si>
  <si>
    <t>0526/90</t>
  </si>
  <si>
    <t>440mm x 225mm x 720mm x 40um</t>
  </si>
  <si>
    <t>0526/227</t>
  </si>
  <si>
    <t>EX07</t>
  </si>
  <si>
    <t>0526/58</t>
  </si>
  <si>
    <t>PLAIN GREEN LDPE TUBING</t>
  </si>
  <si>
    <t>560mm x 100um</t>
  </si>
  <si>
    <t>PLAIN CLEAR LDPE RC SHEETING</t>
  </si>
  <si>
    <t>3m x 100m x 75um</t>
  </si>
  <si>
    <t>0526/67</t>
  </si>
  <si>
    <t>GLOBAL LEAF TOBACCO</t>
  </si>
  <si>
    <t>0426/114</t>
  </si>
  <si>
    <t>PRINTED WHITE HDPE TOMMY LARGE BAGS</t>
  </si>
  <si>
    <t>260mm x 460mm x 40um</t>
  </si>
  <si>
    <t>0426/112</t>
  </si>
  <si>
    <t>PRINTED WHITE HDPE NORTH STAR BAGS</t>
  </si>
  <si>
    <t>0526/93</t>
  </si>
  <si>
    <t xml:space="preserve">PLAIN CLEAR LDPE TUBING </t>
  </si>
  <si>
    <t>0526/102</t>
  </si>
  <si>
    <t xml:space="preserve">LIGHT GROOVE </t>
  </si>
  <si>
    <t>PLAIN CLEAR RC BAGS</t>
  </si>
  <si>
    <t>370mm x 150mm x 850mm x 100um</t>
  </si>
  <si>
    <t>0526/100</t>
  </si>
  <si>
    <t>400mm x 100mm x 900mm x 90um</t>
  </si>
  <si>
    <t>0526/126</t>
  </si>
  <si>
    <t>ATLAS AGRIC</t>
  </si>
  <si>
    <t>0526/56</t>
  </si>
  <si>
    <t xml:space="preserve">SIMBOLIC </t>
  </si>
  <si>
    <t>190mm x 255mm x 30um</t>
  </si>
  <si>
    <t>1226/74</t>
  </si>
  <si>
    <t>PRINTED CLEAR 2KG BAGS</t>
  </si>
  <si>
    <t>0526/64</t>
  </si>
  <si>
    <t>0526/103</t>
  </si>
  <si>
    <t>LIGHT GROOVE</t>
  </si>
  <si>
    <t>360mm x 140mm x 750mm x 100um</t>
  </si>
  <si>
    <t>0526/104</t>
  </si>
  <si>
    <t>220mm x 340mm x 50um</t>
  </si>
  <si>
    <t>0526/105</t>
  </si>
  <si>
    <t>400mm x 100mm x 700m x 90um</t>
  </si>
  <si>
    <t>0126/293</t>
  </si>
  <si>
    <t>0526/130</t>
  </si>
  <si>
    <t>0426/192</t>
  </si>
  <si>
    <t>230mm x 500mm x 70um</t>
  </si>
  <si>
    <t>0426/145</t>
  </si>
  <si>
    <t>ULTRASET</t>
  </si>
  <si>
    <t>0526/101</t>
  </si>
  <si>
    <t>400mm x 100mm x 700mm x 100um</t>
  </si>
  <si>
    <t>0526/106</t>
  </si>
  <si>
    <t>400mm x 60mm x 650mm x 60um</t>
  </si>
  <si>
    <t>0426/217</t>
  </si>
  <si>
    <t xml:space="preserve">R .CHITENGA </t>
  </si>
  <si>
    <t>R .CHITENGA</t>
  </si>
  <si>
    <t>PLAIN GREEN LDPE ICE BAGS</t>
  </si>
  <si>
    <t>0526/55</t>
  </si>
  <si>
    <t>190mm x 225mm x 30um</t>
  </si>
  <si>
    <t>0526/94</t>
  </si>
  <si>
    <t>PLAIN CLEAR MACHINE PALLETWRAP SHEETING</t>
  </si>
  <si>
    <t>450mm x 1000m x 25um</t>
  </si>
  <si>
    <t>0526/117</t>
  </si>
  <si>
    <t xml:space="preserve">CANGROW </t>
  </si>
  <si>
    <t>450mm x 80um</t>
  </si>
  <si>
    <t>0526/71</t>
  </si>
  <si>
    <t>520mm x 200mm x 850mm x 40um</t>
  </si>
  <si>
    <t>0526/115</t>
  </si>
  <si>
    <t>GOOD NIGHT BEDDING</t>
  </si>
  <si>
    <t>726/114</t>
  </si>
  <si>
    <t>0526/131</t>
  </si>
  <si>
    <t>330m x 20um</t>
  </si>
  <si>
    <t>0526/114</t>
  </si>
  <si>
    <t xml:space="preserve">VICTORIA </t>
  </si>
  <si>
    <t>PRINNTED LAMINATED 2KG BAGS</t>
  </si>
  <si>
    <t>295mm x 440mm x 90um</t>
  </si>
  <si>
    <t>0526/116</t>
  </si>
  <si>
    <t xml:space="preserve">PROLLA FOODS </t>
  </si>
  <si>
    <t>PRINTED LAMINATED 2KG BAGS</t>
  </si>
  <si>
    <t>PRINTED HDPE N-STAR SMALL BAGS</t>
  </si>
  <si>
    <t>0526/61</t>
  </si>
  <si>
    <t xml:space="preserve">CAIRNS FOODS </t>
  </si>
  <si>
    <t>KASHEP ENT</t>
  </si>
  <si>
    <t>1090mm x 660mm x 2160mm x 45um</t>
  </si>
  <si>
    <t>0526/39</t>
  </si>
  <si>
    <t>760mm x 430mm x 1180mm x 75um</t>
  </si>
  <si>
    <t>0326/15</t>
  </si>
  <si>
    <t>325mm x 230mm x 810mm x 10um</t>
  </si>
  <si>
    <t>0326/160</t>
  </si>
  <si>
    <t>GINGER FILTER</t>
  </si>
  <si>
    <t>PLAIN CLEAR LDPE SHRINK SLEEVES</t>
  </si>
  <si>
    <t>345mm x 450mm x 100um</t>
  </si>
  <si>
    <t>BM125</t>
  </si>
  <si>
    <t>0526/218</t>
  </si>
  <si>
    <t>0526/153</t>
  </si>
  <si>
    <t>120mm x 330mm x 20um</t>
  </si>
  <si>
    <t>0126/189</t>
  </si>
  <si>
    <t>0426/198</t>
  </si>
  <si>
    <t>0226/65</t>
  </si>
  <si>
    <t>0526/147</t>
  </si>
  <si>
    <t>ZIM SPINNERS WEAVERS</t>
  </si>
  <si>
    <t>PLAIN CLEAR RC TUBING</t>
  </si>
  <si>
    <t>950mm x 100um</t>
  </si>
  <si>
    <t>0526/148</t>
  </si>
  <si>
    <t>750mm x 100um</t>
  </si>
  <si>
    <t>0526/154</t>
  </si>
  <si>
    <t xml:space="preserve">ENERGY BEV </t>
  </si>
  <si>
    <t>PRINTED WHITE LDPE CREAM AUTOPACK</t>
  </si>
  <si>
    <t>0526/87</t>
  </si>
  <si>
    <t xml:space="preserve">CHLORIDE ZIM </t>
  </si>
  <si>
    <t>470mm x 70um</t>
  </si>
  <si>
    <t>COMPETITIVE ZIM</t>
  </si>
  <si>
    <t>455mm x 940mm x 80um</t>
  </si>
  <si>
    <t>0526/155</t>
  </si>
  <si>
    <t xml:space="preserve">AVIATION GROUND </t>
  </si>
  <si>
    <t>930mm x 1200mm x 100um</t>
  </si>
  <si>
    <t>0526/181</t>
  </si>
  <si>
    <t>MR MATIMBE</t>
  </si>
  <si>
    <t>5m x 7m x 250um</t>
  </si>
  <si>
    <t>800mm x 400mm x 1400mm x 50um</t>
  </si>
  <si>
    <t xml:space="preserve">DAIRIBORD </t>
  </si>
  <si>
    <t>HILLBIG</t>
  </si>
  <si>
    <t>200mm x 110mm x 600mm 70um</t>
  </si>
  <si>
    <t>0526/158</t>
  </si>
  <si>
    <t>NEEJAY MARKETING</t>
  </si>
  <si>
    <t>4m x 60m x 250um</t>
  </si>
  <si>
    <t>0526/35</t>
  </si>
  <si>
    <t>EPIC MANUFACTURING</t>
  </si>
  <si>
    <t>0526/140</t>
  </si>
  <si>
    <t xml:space="preserve">    </t>
  </si>
  <si>
    <t>0526/159</t>
  </si>
  <si>
    <t>0526/88</t>
  </si>
  <si>
    <t>400mm x 70um</t>
  </si>
  <si>
    <t>0526/149</t>
  </si>
  <si>
    <t>PLAIN CLEAR RC LDPE TUBING</t>
  </si>
  <si>
    <t>500mm x 80um</t>
  </si>
  <si>
    <t>0526/142</t>
  </si>
  <si>
    <t>0426/209</t>
  </si>
  <si>
    <t>60mm x 120mm x 60um</t>
  </si>
  <si>
    <t>0526/180</t>
  </si>
  <si>
    <t>BROADBRIDGE</t>
  </si>
  <si>
    <t>965mm x 1650mm x 100um</t>
  </si>
  <si>
    <t>0426/53</t>
  </si>
  <si>
    <t>0526/122</t>
  </si>
  <si>
    <t xml:space="preserve">MAKO </t>
  </si>
  <si>
    <t>0526/167</t>
  </si>
  <si>
    <t>MNANDY BAKAREES</t>
  </si>
  <si>
    <t>0326/188</t>
  </si>
  <si>
    <t>COTTCO COMPANY OF ZIM</t>
  </si>
  <si>
    <t>900mm x 550mm x 2000mm x 180um</t>
  </si>
  <si>
    <t xml:space="preserve">MEGAPACK </t>
  </si>
  <si>
    <t>0426/143</t>
  </si>
  <si>
    <t>SUPERSTICK</t>
  </si>
  <si>
    <t>350mm x 570mm x 100um</t>
  </si>
  <si>
    <t>0526/109</t>
  </si>
  <si>
    <t>295mm x 80mm x 5460mm x 120um</t>
  </si>
  <si>
    <t>0526/138</t>
  </si>
  <si>
    <t xml:space="preserve">PRINTED CLEAR BOPP C-FOLD </t>
  </si>
  <si>
    <t>440mm x 500mm x 30um</t>
  </si>
  <si>
    <t>0526/82</t>
  </si>
  <si>
    <t xml:space="preserve">PLAIN CLEAR BOPP C-FOLD </t>
  </si>
  <si>
    <t>EX13</t>
  </si>
  <si>
    <t>0426/177</t>
  </si>
  <si>
    <t xml:space="preserve">PLAIN CLEAR PALLETWRAP </t>
  </si>
  <si>
    <t>450mm x 1000m x 17um</t>
  </si>
  <si>
    <t xml:space="preserve">PLAIN CLEA HAND PALLETWRAP </t>
  </si>
  <si>
    <t>0526/156</t>
  </si>
  <si>
    <t>HILLBILLIES</t>
  </si>
  <si>
    <t>390mm x 415mm x 90um</t>
  </si>
  <si>
    <t>0526/177</t>
  </si>
  <si>
    <t>SUPERSTICKY</t>
  </si>
  <si>
    <t>0526/144</t>
  </si>
  <si>
    <t xml:space="preserve">KONDEE </t>
  </si>
  <si>
    <t>250mm x 600mm x 80um</t>
  </si>
  <si>
    <t>0526/163</t>
  </si>
  <si>
    <t>PRINTED BLUE LDPE 5KG ICE BAGS</t>
  </si>
  <si>
    <t>750mm x 9500</t>
  </si>
  <si>
    <t>0526/185</t>
  </si>
  <si>
    <t>0526/70</t>
  </si>
  <si>
    <t>450mm x 545mm x 45um</t>
  </si>
  <si>
    <t xml:space="preserve">290mm x 500mm x 70um </t>
  </si>
  <si>
    <t>0526/92</t>
  </si>
  <si>
    <t>480mm x 60um</t>
  </si>
  <si>
    <t>0526/176</t>
  </si>
  <si>
    <t xml:space="preserve">Z L T </t>
  </si>
  <si>
    <t>PLAIN BLACK SHEETING</t>
  </si>
  <si>
    <t>8m x 92m x 250um</t>
  </si>
  <si>
    <t>0526/166</t>
  </si>
  <si>
    <t xml:space="preserve">PAPER HOLE </t>
  </si>
  <si>
    <t>100mm x 70mm x 190mm x 100um</t>
  </si>
  <si>
    <t>0526/89</t>
  </si>
  <si>
    <t>CHLORIDE ZIM</t>
  </si>
  <si>
    <t>350mm x 70um</t>
  </si>
  <si>
    <t>0526/209</t>
  </si>
  <si>
    <t xml:space="preserve">PLAIN BLACK LDPE BINLINES </t>
  </si>
  <si>
    <t>450mm x 515mm x 45um</t>
  </si>
  <si>
    <t>0526/182</t>
  </si>
  <si>
    <t>784mm x 945mm x 55um</t>
  </si>
  <si>
    <t xml:space="preserve">PLAIN CLEAR HAND PALLETWRAP </t>
  </si>
  <si>
    <t>0526/168</t>
  </si>
  <si>
    <t xml:space="preserve">CHALKMART </t>
  </si>
  <si>
    <t>285mm x 460mm x 70um</t>
  </si>
  <si>
    <t>0526/28</t>
  </si>
  <si>
    <t>PACIFIC CIGARETTIE</t>
  </si>
  <si>
    <t>PLAIN GREY LDPE BAGS</t>
  </si>
  <si>
    <t>535mm x 1480mm x 70um</t>
  </si>
  <si>
    <t>0526/54</t>
  </si>
  <si>
    <t>DAFERA INVESTMENTS</t>
  </si>
  <si>
    <t>PRINTED WHITELDPE BAGS</t>
  </si>
  <si>
    <t xml:space="preserve">PRINTED CLEAR BOPP AUTOPACK </t>
  </si>
  <si>
    <t>275mm x 30um</t>
  </si>
  <si>
    <t>0526/184</t>
  </si>
  <si>
    <t>COOKIES MILLING</t>
  </si>
  <si>
    <t>0526/164</t>
  </si>
  <si>
    <t>PLAIN CLEAR SHRINKWRAP SLEEVES</t>
  </si>
  <si>
    <t>0526/111</t>
  </si>
  <si>
    <t>0526/192</t>
  </si>
  <si>
    <t xml:space="preserve">FREDDY HIRSCH </t>
  </si>
  <si>
    <t>720mm x 80um</t>
  </si>
  <si>
    <t>0526/179</t>
  </si>
  <si>
    <t>0526/52</t>
  </si>
  <si>
    <t xml:space="preserve">DAYFRO CONSTRUCTION </t>
  </si>
  <si>
    <t>0526/204</t>
  </si>
  <si>
    <t>0526/97</t>
  </si>
  <si>
    <t>0526/146</t>
  </si>
  <si>
    <t>240mm x 280mm x 60mm x 45um</t>
  </si>
  <si>
    <t>0526/165</t>
  </si>
  <si>
    <t>PRINTED WHITE BOPP AUTOPACK</t>
  </si>
  <si>
    <t>PLAINBLACK LDPE PLANTING BAGS</t>
  </si>
  <si>
    <t>0526/173</t>
  </si>
  <si>
    <t>330mm x 650mm x 90um</t>
  </si>
  <si>
    <t>0626/26</t>
  </si>
  <si>
    <t>0526/195</t>
  </si>
  <si>
    <t xml:space="preserve">AFRIBAGS </t>
  </si>
  <si>
    <t>0326/27</t>
  </si>
  <si>
    <t>0426/191</t>
  </si>
  <si>
    <t>0526/196</t>
  </si>
  <si>
    <t>455mm x 800mm x 75um</t>
  </si>
  <si>
    <t>450mm x 700mm x 20um</t>
  </si>
  <si>
    <t>0526/162</t>
  </si>
  <si>
    <t>0626/22</t>
  </si>
  <si>
    <t xml:space="preserve">MRS BVUMBE </t>
  </si>
  <si>
    <t>0626/01</t>
  </si>
  <si>
    <t>0226/120</t>
  </si>
  <si>
    <t>0426/193</t>
  </si>
  <si>
    <t>0626/21</t>
  </si>
  <si>
    <t xml:space="preserve">ATLAS AGRIC </t>
  </si>
  <si>
    <t xml:space="preserve">1220mm x 838mm x 1626mm </t>
  </si>
  <si>
    <t>0426/227</t>
  </si>
  <si>
    <t>0626/17</t>
  </si>
  <si>
    <t>PRETORIA PORTLAND CEMENT</t>
  </si>
  <si>
    <t>1290mm x 1050mm x 1750mm x 125um</t>
  </si>
  <si>
    <t>0626/16</t>
  </si>
  <si>
    <t>0625/15</t>
  </si>
  <si>
    <t>0626/27</t>
  </si>
  <si>
    <t>0526/170</t>
  </si>
  <si>
    <t>MR MASUKU</t>
  </si>
  <si>
    <t>150mm x 100mm x 390mm x 70um</t>
  </si>
  <si>
    <t>0526/66</t>
  </si>
  <si>
    <t>430mm x 140mm x 575mm x 125um</t>
  </si>
  <si>
    <t>0626/29</t>
  </si>
  <si>
    <t>0526/189</t>
  </si>
  <si>
    <t>PLAIN CLEAR SHRINK SLEEVES</t>
  </si>
  <si>
    <t>0626/38</t>
  </si>
  <si>
    <t>280mm x 355mm x 40um</t>
  </si>
  <si>
    <t>0626/37</t>
  </si>
  <si>
    <t>0526/141</t>
  </si>
  <si>
    <t xml:space="preserve">REGINSMO </t>
  </si>
  <si>
    <t>0526/178</t>
  </si>
  <si>
    <t>0626/04</t>
  </si>
  <si>
    <t xml:space="preserve">FLYSERVE </t>
  </si>
  <si>
    <t>610mm x 20um</t>
  </si>
  <si>
    <t>0626/14</t>
  </si>
  <si>
    <t xml:space="preserve">THORNVILLE </t>
  </si>
  <si>
    <t>PLAIN CLEAR LAMINATED AUTOPACK</t>
  </si>
  <si>
    <t>465/460/435mm x 62um</t>
  </si>
  <si>
    <t>0526/135</t>
  </si>
  <si>
    <t xml:space="preserve">WILDACO </t>
  </si>
  <si>
    <t>PRINTED LAMINATED 250G CHUNKS BAGS</t>
  </si>
  <si>
    <t>165mm x 250mm x 52um</t>
  </si>
  <si>
    <t>0626/40</t>
  </si>
  <si>
    <t>PLAIN GREENISH LDPE BAGS</t>
  </si>
  <si>
    <t>325mm x 190mm x 920mm x 35um</t>
  </si>
  <si>
    <t>PLAIN HANDPALLET WRAP</t>
  </si>
  <si>
    <t>245mm x 300mm x 40mm x 35um</t>
  </si>
  <si>
    <t xml:space="preserve">PRINTED CLEAR LDPE AUTOPACK </t>
  </si>
  <si>
    <t>0526/128</t>
  </si>
  <si>
    <t>0626/</t>
  </si>
  <si>
    <t>1300mm x 300mm x 2300mm x 80um</t>
  </si>
  <si>
    <t>0626/51</t>
  </si>
  <si>
    <t xml:space="preserve">GOLDEN TASTY </t>
  </si>
  <si>
    <t xml:space="preserve">PRINTED CLEAR LDPE C-FOLD </t>
  </si>
  <si>
    <t>0426/189</t>
  </si>
  <si>
    <t>0626/42</t>
  </si>
  <si>
    <t>PLAIN BLACK RC LDPE BAGS</t>
  </si>
  <si>
    <t>480mm x 680mm x 30um</t>
  </si>
  <si>
    <t>0426/188</t>
  </si>
  <si>
    <t>PLAIN BLACK PLANTING BAGS</t>
  </si>
  <si>
    <t>80mm x 70mm x 200mm x 70um</t>
  </si>
  <si>
    <t>0526/75</t>
  </si>
  <si>
    <t>335mm x 430mm x 60um</t>
  </si>
  <si>
    <t>0426/144</t>
  </si>
  <si>
    <t xml:space="preserve">SUPER STICKY </t>
  </si>
  <si>
    <t>0526/53</t>
  </si>
  <si>
    <t xml:space="preserve">RAPID GLOBAL </t>
  </si>
  <si>
    <t>140mm x 60um</t>
  </si>
  <si>
    <t>0626/131</t>
  </si>
  <si>
    <t xml:space="preserve">MUPEDZANZARA </t>
  </si>
  <si>
    <t>0626/60</t>
  </si>
  <si>
    <t>V-PEK PLASTICS</t>
  </si>
  <si>
    <t>650mm x 1100mm x 50um</t>
  </si>
  <si>
    <t>0626/24</t>
  </si>
  <si>
    <t>300mm x 130mm x 745mm x 60um</t>
  </si>
  <si>
    <t>0626/66</t>
  </si>
  <si>
    <t>0626/12</t>
  </si>
  <si>
    <t xml:space="preserve">PLAIN CLEAR C-FOLD </t>
  </si>
  <si>
    <t>0626/54</t>
  </si>
  <si>
    <t>VINOPHANE</t>
  </si>
  <si>
    <t>300mm x 175mm x 10um</t>
  </si>
  <si>
    <t>0626/52</t>
  </si>
  <si>
    <t>0626/61</t>
  </si>
  <si>
    <t>710mm x 1960mm x 50um</t>
  </si>
  <si>
    <t>0526/200</t>
  </si>
  <si>
    <t>KADIRO SEAL</t>
  </si>
  <si>
    <t>PRINTED CLEAR LAMINATED AUTOPACK</t>
  </si>
  <si>
    <t>285mm x 460mm  80um</t>
  </si>
  <si>
    <t>0226/03</t>
  </si>
  <si>
    <t>325mm x 556mm x 20um</t>
  </si>
  <si>
    <t>0526/193</t>
  </si>
  <si>
    <t>BARRONSWAY</t>
  </si>
  <si>
    <t>135mm x 265mm x 60um</t>
  </si>
  <si>
    <t>130mm x 390mm x 2300mm x 80um</t>
  </si>
  <si>
    <t>0526/161</t>
  </si>
  <si>
    <t xml:space="preserve">ORANGE VILLE </t>
  </si>
  <si>
    <t>1020mm x 1880mm x 100um</t>
  </si>
  <si>
    <t>0626/41</t>
  </si>
  <si>
    <t xml:space="preserve">PLAIN CLEAR MACHINE PALLETWRAP </t>
  </si>
  <si>
    <t>0526/113</t>
  </si>
  <si>
    <t>MZIMHAKO</t>
  </si>
  <si>
    <t>350mm x 560mm x 120um</t>
  </si>
  <si>
    <t>0626/25</t>
  </si>
  <si>
    <t>200mm x 100mm x 400mm x 25um</t>
  </si>
  <si>
    <t>0626/63</t>
  </si>
  <si>
    <t>0626/67</t>
  </si>
  <si>
    <t>0426/187</t>
  </si>
  <si>
    <t>06216/81</t>
  </si>
  <si>
    <t>0626/90</t>
  </si>
  <si>
    <t xml:space="preserve">INGWEBU </t>
  </si>
  <si>
    <t>400mm x 60um</t>
  </si>
  <si>
    <t>0626/62</t>
  </si>
  <si>
    <t xml:space="preserve">MANICA ICE </t>
  </si>
  <si>
    <t>295mm x 460mm x 80um</t>
  </si>
  <si>
    <t>0626/43</t>
  </si>
  <si>
    <t>0626/73</t>
  </si>
  <si>
    <t>254mm x 355mm x 45um</t>
  </si>
  <si>
    <t>0626/78</t>
  </si>
  <si>
    <t>400mm x 75um</t>
  </si>
  <si>
    <t>0626/64</t>
  </si>
  <si>
    <t>FANELI</t>
  </si>
  <si>
    <t>INGWEBU</t>
  </si>
  <si>
    <t>0626/84</t>
  </si>
  <si>
    <t>0126/180</t>
  </si>
  <si>
    <t>PLAIN BLACK LDPE RC BAGS</t>
  </si>
  <si>
    <t>0626/48</t>
  </si>
  <si>
    <t xml:space="preserve">LAFARGE CEMENT </t>
  </si>
  <si>
    <t>0626/65</t>
  </si>
  <si>
    <t>300mm x 120mm x 800mm x 60um</t>
  </si>
  <si>
    <t>0626/86</t>
  </si>
  <si>
    <t>0626/49</t>
  </si>
  <si>
    <t>PRINTED WHITE LDPE 25kg BAGS</t>
  </si>
  <si>
    <t>470mm x 650mm x 80um</t>
  </si>
  <si>
    <t>0626/19</t>
  </si>
  <si>
    <t>0626/18</t>
  </si>
  <si>
    <t>PRINTED CLEAR LDPE PURPLE BAGS</t>
  </si>
  <si>
    <t>0626/98</t>
  </si>
  <si>
    <t xml:space="preserve">PLAIN CORP </t>
  </si>
  <si>
    <t>0626/99</t>
  </si>
  <si>
    <t>0626/100</t>
  </si>
  <si>
    <t>0626/101</t>
  </si>
  <si>
    <t>0626/102</t>
  </si>
  <si>
    <t>0626/103</t>
  </si>
  <si>
    <t>0626/104</t>
  </si>
  <si>
    <t>0626/105</t>
  </si>
  <si>
    <t>0626/114</t>
  </si>
  <si>
    <t>0626/94</t>
  </si>
  <si>
    <t>COMPANHIA DO VANDUZI</t>
  </si>
  <si>
    <t>310mm x 540mm x 45um</t>
  </si>
  <si>
    <t>0626/189</t>
  </si>
  <si>
    <t>0526/150</t>
  </si>
  <si>
    <t>0626/96</t>
  </si>
  <si>
    <t xml:space="preserve">CHIKAMI </t>
  </si>
  <si>
    <t>0626/93</t>
  </si>
  <si>
    <t xml:space="preserve">ATLASS AGRIC </t>
  </si>
  <si>
    <t>0626/172</t>
  </si>
  <si>
    <t>450mm x 480mm x 75um</t>
  </si>
  <si>
    <t>GLOBAL LEAF ZIM</t>
  </si>
  <si>
    <t>0626/71</t>
  </si>
  <si>
    <t>0526/119</t>
  </si>
  <si>
    <t>0626/11</t>
  </si>
  <si>
    <t>CARNAUD METAL BOX</t>
  </si>
  <si>
    <t>600mm x 160mm x 1500mm x 50um</t>
  </si>
  <si>
    <t>0626/95</t>
  </si>
  <si>
    <t>WAVE PLASTICS</t>
  </si>
  <si>
    <t>250mm x 650mm x 80um</t>
  </si>
  <si>
    <t>MEGAPACK ZIM</t>
  </si>
  <si>
    <t>0626/123</t>
  </si>
  <si>
    <t>0626/81</t>
  </si>
  <si>
    <t>0626/56</t>
  </si>
  <si>
    <t>230mm x 500mm x 50mm x 30um</t>
  </si>
  <si>
    <t>0626/09</t>
  </si>
  <si>
    <t>0626/70</t>
  </si>
  <si>
    <t xml:space="preserve">TASTIC </t>
  </si>
  <si>
    <t>PRINTED CLEAR LAMINATED BOPP BAGS</t>
  </si>
  <si>
    <t>150mm x 230mm x 42um</t>
  </si>
  <si>
    <t>0526/151</t>
  </si>
  <si>
    <t xml:space="preserve">TAKBET </t>
  </si>
  <si>
    <t>PRINTED WHITE LDPE AUTPACK MILKY</t>
  </si>
  <si>
    <t>0626/77</t>
  </si>
  <si>
    <t>BUTTERFLIES</t>
  </si>
  <si>
    <t>245mm x 275mm x 40mm x 30um</t>
  </si>
  <si>
    <t>0625/41</t>
  </si>
  <si>
    <t>BM129</t>
  </si>
  <si>
    <t>0626/44</t>
  </si>
  <si>
    <t>0526/129</t>
  </si>
  <si>
    <t>0426/117</t>
  </si>
  <si>
    <t xml:space="preserve">THORNTON </t>
  </si>
  <si>
    <t>180mm x 110mm x 635mm x 60um</t>
  </si>
  <si>
    <t>0626/119</t>
  </si>
  <si>
    <t>0626/141</t>
  </si>
  <si>
    <t>0626/138</t>
  </si>
  <si>
    <t>0626/137</t>
  </si>
  <si>
    <t>0626/108</t>
  </si>
  <si>
    <t>170mm x 100mm x 600mm x 30um</t>
  </si>
  <si>
    <t>THORNVILLE</t>
  </si>
  <si>
    <t>PLAIN CLEAR LAMINATED PET SHEETING</t>
  </si>
  <si>
    <t>460mm x 63um</t>
  </si>
  <si>
    <t>0526/202</t>
  </si>
  <si>
    <t>PRINTED WHITE HDPE TOUGHES LARGE BAGS</t>
  </si>
  <si>
    <t>325mm x 460mm x 30um</t>
  </si>
  <si>
    <t>0626/130</t>
  </si>
  <si>
    <t>545mm x 630mm x 30um</t>
  </si>
  <si>
    <t>EX17</t>
  </si>
  <si>
    <t>0626/197</t>
  </si>
  <si>
    <t>0626/136</t>
  </si>
  <si>
    <t>QUEST VEST</t>
  </si>
  <si>
    <t>360mm x 50um</t>
  </si>
  <si>
    <t xml:space="preserve">PRINTED LAMINATED 2KG WHITE BAGS </t>
  </si>
  <si>
    <t>0626/118</t>
  </si>
  <si>
    <t>1530mm x 300mm x 2500mm x 80um</t>
  </si>
  <si>
    <t>0626/115</t>
  </si>
  <si>
    <t>0626/127</t>
  </si>
  <si>
    <t>HEALTHY HYGIENE</t>
  </si>
  <si>
    <t>490mm x 190mm x 650mm x 35um</t>
  </si>
  <si>
    <t>PRINTED WHITE LDPE AUTPACK BANANA</t>
  </si>
  <si>
    <t>0626/129</t>
  </si>
  <si>
    <t>360mm x 540mm x 30um</t>
  </si>
  <si>
    <t>0526/139</t>
  </si>
  <si>
    <t>0626/117</t>
  </si>
  <si>
    <t>780mm x 55um</t>
  </si>
  <si>
    <t>POLYOAK PACKAGING</t>
  </si>
  <si>
    <t>0626/154</t>
  </si>
  <si>
    <t>0626/34</t>
  </si>
  <si>
    <t>0626/158</t>
  </si>
  <si>
    <t xml:space="preserve">VARIPLASTICS </t>
  </si>
  <si>
    <t>0626/28</t>
  </si>
  <si>
    <t>330mm x 630mm x 30um</t>
  </si>
  <si>
    <t>0526/127</t>
  </si>
  <si>
    <t>0126/164</t>
  </si>
  <si>
    <t xml:space="preserve">CECON </t>
  </si>
  <si>
    <t>PRINTED LAMINATED BAGS</t>
  </si>
  <si>
    <t>244mm x 297mm x 80um</t>
  </si>
  <si>
    <t>0626/97</t>
  </si>
  <si>
    <t>0626/163</t>
  </si>
  <si>
    <t>590mm x 195mm x 1220mm x 50um</t>
  </si>
  <si>
    <t>190mm x 100mm x 600mm x 30um</t>
  </si>
  <si>
    <t>0626/120</t>
  </si>
  <si>
    <t>BM096</t>
  </si>
  <si>
    <t xml:space="preserve">HEALTHY HYGINE </t>
  </si>
  <si>
    <t>215mm x 320mm x 50um</t>
  </si>
  <si>
    <t>0626/47</t>
  </si>
  <si>
    <t>0626/155</t>
  </si>
  <si>
    <t xml:space="preserve">SIMPLY FIX </t>
  </si>
  <si>
    <t>435mm x 80um</t>
  </si>
  <si>
    <t>0526/125</t>
  </si>
  <si>
    <t>PRINTED CLEAR BOPP SHEETING</t>
  </si>
  <si>
    <t>0526/186</t>
  </si>
  <si>
    <t>PROLLA FOODS</t>
  </si>
  <si>
    <t>PRINTED CLEAR LAMINATED BAGS</t>
  </si>
  <si>
    <t>0626/133</t>
  </si>
  <si>
    <t>0626/92</t>
  </si>
  <si>
    <t xml:space="preserve">BAKELS ZIM </t>
  </si>
  <si>
    <t>0626/91</t>
  </si>
  <si>
    <t>580mm x 840mm x 90um</t>
  </si>
  <si>
    <t>0626/144</t>
  </si>
  <si>
    <t>DATLABS</t>
  </si>
  <si>
    <t>PLAIN CLEAR LDPE SHRINKWRAP</t>
  </si>
  <si>
    <t>210mm x 60um</t>
  </si>
  <si>
    <t>0626/145</t>
  </si>
  <si>
    <t>425mm x 60um</t>
  </si>
  <si>
    <t>0626/50</t>
  </si>
  <si>
    <t>MANAZEL</t>
  </si>
  <si>
    <t>PRINTED LAMINATED 500g CHUNKS BAGS</t>
  </si>
  <si>
    <t>165mm x 260mm x 52um</t>
  </si>
  <si>
    <t>DAIRIBORD ZIM</t>
  </si>
  <si>
    <t>0626/59</t>
  </si>
  <si>
    <t>PRINTED CLEAR LDPE CONE BAGS</t>
  </si>
  <si>
    <t>0626/35</t>
  </si>
  <si>
    <t xml:space="preserve">HARDLEY SUGAR </t>
  </si>
  <si>
    <t>0126/205</t>
  </si>
  <si>
    <t>1000mm x 1500mm x 30um</t>
  </si>
  <si>
    <t>GLOBAL REFINERS</t>
  </si>
  <si>
    <t>0626/182</t>
  </si>
  <si>
    <t>0626/146</t>
  </si>
  <si>
    <t>0626/152</t>
  </si>
  <si>
    <t xml:space="preserve">POLYFIBRION </t>
  </si>
  <si>
    <t>450mm x 230mm x 750mm x 40um</t>
  </si>
  <si>
    <t>0626/89</t>
  </si>
  <si>
    <t>PRINTED WHITE LDPE AUTOPACK MILKY</t>
  </si>
  <si>
    <t>PLAIN BLACK LDP CARRIER BAGS</t>
  </si>
  <si>
    <t>0626/178</t>
  </si>
  <si>
    <t>1220mm x 830mm x 1626mm x 50um</t>
  </si>
  <si>
    <t>0626/183</t>
  </si>
  <si>
    <t xml:space="preserve">AGRIC VALUE </t>
  </si>
  <si>
    <t>0526/145</t>
  </si>
  <si>
    <t>PRINTED CLEAR LDPE BAGS 008</t>
  </si>
  <si>
    <t>PRINTED CLEAR LDPE CONE BAGS 275</t>
  </si>
  <si>
    <t>QUICK FIX</t>
  </si>
  <si>
    <t>0626/30</t>
  </si>
  <si>
    <t xml:space="preserve">DIBCON PBC </t>
  </si>
  <si>
    <t>0626/223</t>
  </si>
  <si>
    <t xml:space="preserve">MAKONDE </t>
  </si>
  <si>
    <t>210mm x 270mm x 70um</t>
  </si>
  <si>
    <t>0526/33</t>
  </si>
  <si>
    <t>145mm x 315mm x 50um</t>
  </si>
  <si>
    <t>0626/224</t>
  </si>
  <si>
    <t>0626/72</t>
  </si>
  <si>
    <t>0626/226</t>
  </si>
  <si>
    <t>460mm x 62um</t>
  </si>
  <si>
    <t>PLAIN BLACLDPE BINLINERS</t>
  </si>
  <si>
    <t>1000mm x 1500mm x 30umn</t>
  </si>
  <si>
    <t>0626/88</t>
  </si>
  <si>
    <t xml:space="preserve">MAKROMED </t>
  </si>
  <si>
    <t>PRINTED LDPE BATH SALT 1KG BAGS</t>
  </si>
  <si>
    <t>165mm x 270mm x 100um</t>
  </si>
  <si>
    <t>0626/216</t>
  </si>
  <si>
    <t>0626/217</t>
  </si>
  <si>
    <t>385mm x 595mm x 20um</t>
  </si>
  <si>
    <t>0626/169</t>
  </si>
  <si>
    <t>410mm x 500mm x 35um</t>
  </si>
  <si>
    <t>0726/04</t>
  </si>
  <si>
    <t>0626/39</t>
  </si>
  <si>
    <t xml:space="preserve">HARARE ROYAL </t>
  </si>
  <si>
    <t>630mm x 250mm x 850mm x 40um</t>
  </si>
  <si>
    <t>0626/225</t>
  </si>
  <si>
    <t>0626/140</t>
  </si>
  <si>
    <t>PLAIN / PRINTED BLUE LDPE BAGS</t>
  </si>
  <si>
    <t>0526/201</t>
  </si>
  <si>
    <t>PRINTED WHITE HDPE BAGS</t>
  </si>
  <si>
    <t>0126/135</t>
  </si>
  <si>
    <t>0626/68</t>
  </si>
  <si>
    <t>245mm x 500mm x 40mm x 35um</t>
  </si>
  <si>
    <t>0526/69</t>
  </si>
  <si>
    <t>PLAIN CLEAR LDPE SHRINKWRAP SLEEVES</t>
  </si>
  <si>
    <t>0626/171</t>
  </si>
  <si>
    <t xml:space="preserve">GOLDEN TASY </t>
  </si>
  <si>
    <t>BM09</t>
  </si>
  <si>
    <t>0626/219</t>
  </si>
  <si>
    <t>2.4mm x 100mm x 60um</t>
  </si>
  <si>
    <t>PRINTED WHITE HDPE TOMY LARGE BAGS</t>
  </si>
  <si>
    <t>0726/23</t>
  </si>
  <si>
    <t>PRINTED CLEAR 5KG BOPP AUTOPACK</t>
  </si>
  <si>
    <t xml:space="preserve">IRVINES ZIM </t>
  </si>
  <si>
    <t>0626/149</t>
  </si>
  <si>
    <t xml:space="preserve">BEST COMFORTS </t>
  </si>
  <si>
    <t>180mm x 110mm x 655mm x 60um</t>
  </si>
  <si>
    <t>0726/31</t>
  </si>
  <si>
    <t>0726/34</t>
  </si>
  <si>
    <t>0126/183</t>
  </si>
  <si>
    <t>295mm x 580mm x 80um</t>
  </si>
  <si>
    <t>0726/</t>
  </si>
  <si>
    <t>PLAIN CLEAR RC LDPE BAGS</t>
  </si>
  <si>
    <t>295mm x 160mm x 1100mm x 70um</t>
  </si>
  <si>
    <t>0626/157</t>
  </si>
  <si>
    <t>0726/100</t>
  </si>
  <si>
    <t>0626/227</t>
  </si>
  <si>
    <t>626/65</t>
  </si>
  <si>
    <t>PRINTED WHITE LDPE UNIVERSAL BAGS</t>
  </si>
  <si>
    <t>0726./27</t>
  </si>
  <si>
    <t>ORANGE VILLE</t>
  </si>
  <si>
    <t>0726/17</t>
  </si>
  <si>
    <t>M L TOBACCO</t>
  </si>
  <si>
    <t>1500mm x 50m x 25um</t>
  </si>
  <si>
    <t>PLAIN BLACLK LDPE PLANTING BAGS</t>
  </si>
  <si>
    <t>0626/143</t>
  </si>
  <si>
    <t>0726/35</t>
  </si>
  <si>
    <t>0626/173</t>
  </si>
  <si>
    <t>PRINTED CLEAR BOPP AUTOPACK CHELSEA</t>
  </si>
  <si>
    <t>0626/170</t>
  </si>
  <si>
    <t>PRINTED CLEAR BOPP AUTOPACK DONUNTS</t>
  </si>
  <si>
    <t>0726/26</t>
  </si>
  <si>
    <t>0726/22</t>
  </si>
  <si>
    <t>0626/126</t>
  </si>
  <si>
    <t>0726/43</t>
  </si>
  <si>
    <t>0726/81</t>
  </si>
  <si>
    <t>0726/16</t>
  </si>
  <si>
    <t>470mm x 650mm x 80mm x 100um</t>
  </si>
  <si>
    <t>0626/57</t>
  </si>
  <si>
    <t>DAVID WHITE HEAD</t>
  </si>
  <si>
    <t>0526/137</t>
  </si>
  <si>
    <t>FAISEUR</t>
  </si>
  <si>
    <t>550mm x 500mm x 100mm x 50um</t>
  </si>
  <si>
    <t>0626/153</t>
  </si>
  <si>
    <t>FINBURN INVESTMENTS</t>
  </si>
  <si>
    <t>0726/28</t>
  </si>
  <si>
    <t>ETHICAL LEAF TOBACCO</t>
  </si>
  <si>
    <t>0726/84</t>
  </si>
  <si>
    <t>0626/160</t>
  </si>
  <si>
    <t>0726/40</t>
  </si>
  <si>
    <t>0626/36</t>
  </si>
  <si>
    <t>0726/74</t>
  </si>
  <si>
    <t xml:space="preserve">CINDY </t>
  </si>
  <si>
    <t>160mm x 210mm x 75um</t>
  </si>
  <si>
    <t>0626/139</t>
  </si>
  <si>
    <t>0526/198</t>
  </si>
  <si>
    <t>PRINTED CLEAR 2.5KG ICE BAGS</t>
  </si>
  <si>
    <t>0726/87</t>
  </si>
  <si>
    <t>0726/02</t>
  </si>
  <si>
    <t>0726/86</t>
  </si>
  <si>
    <t>0626/179</t>
  </si>
  <si>
    <t>0726/65</t>
  </si>
  <si>
    <t>0726/104</t>
  </si>
  <si>
    <t>250mm x 310mm x 30um</t>
  </si>
  <si>
    <t>0726/105</t>
  </si>
  <si>
    <t>390mm x 250mm x 30um</t>
  </si>
  <si>
    <t>0726/82</t>
  </si>
  <si>
    <t>380mm x 1200mm x 40um</t>
  </si>
  <si>
    <t>0726/91</t>
  </si>
  <si>
    <t>0726/102</t>
  </si>
  <si>
    <t xml:space="preserve">NEMCHEM </t>
  </si>
  <si>
    <t>370mm x 200mm x 1015mm x 55um</t>
  </si>
  <si>
    <t>0726/77</t>
  </si>
  <si>
    <t>380mm x 30um</t>
  </si>
  <si>
    <t>PLAIN NATURAL HDPE HALF BREAD BAG</t>
  </si>
  <si>
    <t>0726/51</t>
  </si>
  <si>
    <t>MAURIBERG</t>
  </si>
  <si>
    <t>PRINTED LAMINATED SHEETING</t>
  </si>
  <si>
    <t>390mm x 62um</t>
  </si>
  <si>
    <t>0726/117</t>
  </si>
  <si>
    <t>0726/119</t>
  </si>
  <si>
    <t>0626/06</t>
  </si>
  <si>
    <t>280mm x 310mm x 50mm x 30um</t>
  </si>
  <si>
    <t>0626/211</t>
  </si>
  <si>
    <t>PLAIN CLEAR C-FOLD SHEETING</t>
  </si>
  <si>
    <t>195mm x 295mm x 6um</t>
  </si>
  <si>
    <t>0726/30</t>
  </si>
  <si>
    <t>0726/08</t>
  </si>
  <si>
    <t xml:space="preserve">REGANS </t>
  </si>
  <si>
    <t>PRINTED CLEAR BAGS</t>
  </si>
  <si>
    <t>115mm x 170mm x 20um</t>
  </si>
  <si>
    <t>0726/120</t>
  </si>
  <si>
    <t>0726/106</t>
  </si>
  <si>
    <t xml:space="preserve">HEALTH HYGIENE </t>
  </si>
  <si>
    <t>490mm x 170mm x 800mm x 35um</t>
  </si>
  <si>
    <t>0726/50</t>
  </si>
  <si>
    <t xml:space="preserve">FREDDY ALVIN </t>
  </si>
  <si>
    <t>390mm x 250mm x 1640mm x 80um</t>
  </si>
  <si>
    <t>0726/97</t>
  </si>
  <si>
    <t xml:space="preserve">VESTCASH </t>
  </si>
  <si>
    <t>0726/108</t>
  </si>
  <si>
    <t xml:space="preserve">VALOUR </t>
  </si>
  <si>
    <t>0726/115</t>
  </si>
  <si>
    <t>0726/46</t>
  </si>
  <si>
    <t xml:space="preserve">BAKERS RITE </t>
  </si>
  <si>
    <t>AUTHENTIC FOODS</t>
  </si>
  <si>
    <t>0626/156</t>
  </si>
  <si>
    <t xml:space="preserve">MAURIBERG </t>
  </si>
  <si>
    <t>PRINTED CLEAR LAMINATED BOPP SHEETING</t>
  </si>
  <si>
    <t>SUNVALLEY</t>
  </si>
  <si>
    <t>0726/72</t>
  </si>
  <si>
    <t>450mm x 300mm x 760mm x 80um</t>
  </si>
  <si>
    <t>0626/148</t>
  </si>
  <si>
    <t>0726/123</t>
  </si>
  <si>
    <t>0726/122</t>
  </si>
  <si>
    <t>400mm x 600mm x 75um</t>
  </si>
  <si>
    <t xml:space="preserve">HEALTH AND HYGINE </t>
  </si>
  <si>
    <t>245mm x 540mm x 50um</t>
  </si>
  <si>
    <t>150mm x 200mm x 20um</t>
  </si>
  <si>
    <t>0726/44</t>
  </si>
  <si>
    <t>0626/76</t>
  </si>
  <si>
    <t xml:space="preserve">L K C </t>
  </si>
  <si>
    <t>130mm x 220mm x 52um</t>
  </si>
  <si>
    <t>0726/160</t>
  </si>
  <si>
    <t>BM026</t>
  </si>
  <si>
    <t>0726/13</t>
  </si>
  <si>
    <t>0726/137</t>
  </si>
  <si>
    <t>0726/64</t>
  </si>
  <si>
    <t>0626/181</t>
  </si>
  <si>
    <t xml:space="preserve">MAMOS </t>
  </si>
  <si>
    <t>130mm x 150mm x 62um</t>
  </si>
  <si>
    <t xml:space="preserve">MZIMHAKO </t>
  </si>
  <si>
    <t>PRINTED HDPE TOUGHES SMALL</t>
  </si>
  <si>
    <t>290mm x 400mm x 30um</t>
  </si>
  <si>
    <t>0626/159</t>
  </si>
  <si>
    <t>1100mm x 1200mm x 35um</t>
  </si>
  <si>
    <t>0726/101</t>
  </si>
  <si>
    <t>CORKED SPIN</t>
  </si>
  <si>
    <t>550mm x 800mm x 50um</t>
  </si>
  <si>
    <t>0726/111</t>
  </si>
  <si>
    <t>PLAIN CLEAR EMBOSSED BAGS</t>
  </si>
  <si>
    <t>PRITED CLEAR LDPE 2.5KG ICE BAGS</t>
  </si>
  <si>
    <t xml:space="preserve">SIMPLY ICE </t>
  </si>
  <si>
    <t>0626/176</t>
  </si>
  <si>
    <t>PRINTED CLEAR BOPP 5KG SHEETING</t>
  </si>
  <si>
    <t>0726/153</t>
  </si>
  <si>
    <t>0726/194</t>
  </si>
  <si>
    <t>0726/24</t>
  </si>
  <si>
    <t xml:space="preserve">ICY BLISS </t>
  </si>
  <si>
    <t>PRINTED CLEAR LDPE 5KG ICE BAGS</t>
  </si>
  <si>
    <t>0726/68</t>
  </si>
  <si>
    <t xml:space="preserve">PALLIAM </t>
  </si>
  <si>
    <t>PRINTED 10KG ROLLER MEAL BOPP SHEETING</t>
  </si>
  <si>
    <t>0726/165</t>
  </si>
  <si>
    <t>300mm x 1900mm x 40um</t>
  </si>
  <si>
    <t>60mm x 120mm x 50um</t>
  </si>
  <si>
    <t>0726/174</t>
  </si>
  <si>
    <t xml:space="preserve">MUTARE </t>
  </si>
  <si>
    <t>PLAIN CLEAR C-FOLD BOPP</t>
  </si>
  <si>
    <t>0726/186</t>
  </si>
  <si>
    <t>PRINTED CLEAR BOPP 10KG SHEETING</t>
  </si>
  <si>
    <t>0626/205</t>
  </si>
  <si>
    <t>0626/194</t>
  </si>
  <si>
    <t>0726/152</t>
  </si>
  <si>
    <t xml:space="preserve">UNIVERSITY </t>
  </si>
  <si>
    <t>0726/39</t>
  </si>
  <si>
    <t xml:space="preserve">BUTTERFLIES </t>
  </si>
  <si>
    <t>0726/156</t>
  </si>
  <si>
    <t>0726/33</t>
  </si>
  <si>
    <t>590mm x 10um</t>
  </si>
  <si>
    <t>LOAD 1</t>
  </si>
  <si>
    <t>25.07.2026</t>
  </si>
  <si>
    <t>LOAD 2</t>
  </si>
  <si>
    <t xml:space="preserve">PLAIN BLACK BINLINERS </t>
  </si>
  <si>
    <t>0626/206</t>
  </si>
  <si>
    <t>0726/147</t>
  </si>
  <si>
    <t>0726/188</t>
  </si>
  <si>
    <t>325mm x 230mm x 810mm x 40um</t>
  </si>
  <si>
    <t>0726/189</t>
  </si>
  <si>
    <t>245mm x 390mm x 20um</t>
  </si>
  <si>
    <t>250mm x 400mm x 20um</t>
  </si>
  <si>
    <t>PLAIN SHRINK WRAP SHEETING</t>
  </si>
  <si>
    <t>0726/205</t>
  </si>
  <si>
    <t>0726/212</t>
  </si>
  <si>
    <t>0626/204</t>
  </si>
  <si>
    <t>0726/158</t>
  </si>
  <si>
    <t>PRINTED CLEAR BOP C-FOLD</t>
  </si>
  <si>
    <t>1026/107</t>
  </si>
  <si>
    <t>0726/177</t>
  </si>
  <si>
    <t>PLAIN YELLOW LDPE BAGS</t>
  </si>
  <si>
    <t>765mm x 890mm x 30um</t>
  </si>
  <si>
    <t>0626/184</t>
  </si>
  <si>
    <t xml:space="preserve">DRUMMOND </t>
  </si>
  <si>
    <t>0726/37</t>
  </si>
  <si>
    <t>0726/109</t>
  </si>
  <si>
    <t xml:space="preserve">PLAIN BLACK LDPE CARRIER BAGS </t>
  </si>
  <si>
    <t>0726/138</t>
  </si>
  <si>
    <t>PRIME CROP</t>
  </si>
  <si>
    <t>PRINTED CLEAR BOPP SHETTING</t>
  </si>
  <si>
    <t>0626/191</t>
  </si>
  <si>
    <t>280mm x 500mm x 75um</t>
  </si>
  <si>
    <t>0626/203</t>
  </si>
  <si>
    <t>300mm x 700mm x 80um</t>
  </si>
  <si>
    <t>0626/202</t>
  </si>
  <si>
    <t xml:space="preserve">PLAIN BLACK LDPE PLANTING BAGS </t>
  </si>
  <si>
    <t>120mm x 80mm x 250mm x 70um</t>
  </si>
  <si>
    <t>0626/125</t>
  </si>
  <si>
    <t>340mm x 225mm x 5600mm x 20um</t>
  </si>
  <si>
    <t>PRINTED CLEAR LDPE NECKS BAGS</t>
  </si>
  <si>
    <t>0726/141</t>
  </si>
  <si>
    <t xml:space="preserve">SCHWEPPES </t>
  </si>
  <si>
    <t>550mm x 55um</t>
  </si>
  <si>
    <t>0726/172</t>
  </si>
  <si>
    <t>55mm x 50um</t>
  </si>
  <si>
    <t>0726/20</t>
  </si>
  <si>
    <t>PRINTED CLEAR LDPE BAGS (LIVERS)</t>
  </si>
  <si>
    <t xml:space="preserve">DENDAIRY </t>
  </si>
  <si>
    <t>0725/17</t>
  </si>
  <si>
    <t>PRINTED CLEAR LDPE BAGS (VALUE PACK)</t>
  </si>
  <si>
    <t>0726/199</t>
  </si>
  <si>
    <t>0626/207</t>
  </si>
  <si>
    <t>400mm x 500mm x 45um</t>
  </si>
  <si>
    <t>430mm x 595mm x 35um</t>
  </si>
  <si>
    <t>PRINTED WHITE LDPE 10KG BAGS</t>
  </si>
  <si>
    <t>PRINTED LAMINATED 2KG RICE BAGS</t>
  </si>
  <si>
    <t>0626/185</t>
  </si>
  <si>
    <t>0726/75</t>
  </si>
  <si>
    <t>0626/201</t>
  </si>
  <si>
    <t>0726/178</t>
  </si>
  <si>
    <t>750mm x 950mm x 60um</t>
  </si>
  <si>
    <t>M L T PACKAGING</t>
  </si>
  <si>
    <t>PACKAGING</t>
  </si>
  <si>
    <t>0726/19</t>
  </si>
  <si>
    <t>PRINTED CLEAR LDPE BAGS (OFFALS)</t>
  </si>
  <si>
    <t>0726/187</t>
  </si>
  <si>
    <t>PAPERHOLE</t>
  </si>
  <si>
    <t>120mm x 80mm x 270mm x 70um</t>
  </si>
  <si>
    <t>0626/177</t>
  </si>
  <si>
    <t>0626/209</t>
  </si>
  <si>
    <t>0726/201</t>
  </si>
  <si>
    <t>0726/184</t>
  </si>
  <si>
    <t>0726/07</t>
  </si>
  <si>
    <t>0726/191</t>
  </si>
  <si>
    <t>PLAIN BLACK CARRIER BAGS</t>
  </si>
  <si>
    <t>PLAIN BLACK BINLINERS BAGS</t>
  </si>
  <si>
    <t>730mm x 900mm x 30um</t>
  </si>
  <si>
    <t xml:space="preserve">SCHWEPPES ZIM </t>
  </si>
  <si>
    <t>0726/185</t>
  </si>
  <si>
    <t>0726/61</t>
  </si>
  <si>
    <t xml:space="preserve">DAYFRO </t>
  </si>
  <si>
    <t>245mm x 340mm x 20um</t>
  </si>
  <si>
    <t>0726/234</t>
  </si>
  <si>
    <t>590mm x 195mm x 1450mm x 50um</t>
  </si>
  <si>
    <t>0726/14</t>
  </si>
  <si>
    <t>0726/235</t>
  </si>
  <si>
    <t>0726/148</t>
  </si>
  <si>
    <t>0726/196</t>
  </si>
  <si>
    <t>450mm x 800mm x 75um</t>
  </si>
  <si>
    <t>0726/38</t>
  </si>
  <si>
    <t xml:space="preserve">HEALTH &amp; HYGIENE </t>
  </si>
  <si>
    <t>0726/136</t>
  </si>
  <si>
    <t>PRINTED WHITE HDPE TOMY BAGS</t>
  </si>
  <si>
    <t>0726/135</t>
  </si>
  <si>
    <t>0726/96</t>
  </si>
  <si>
    <t>0726/95</t>
  </si>
  <si>
    <t>PLAIN CLEAR MACHINE PALLETWRAP</t>
  </si>
  <si>
    <t>PRINTED CLEAR 5KG BAGS</t>
  </si>
  <si>
    <t>0726/06</t>
  </si>
  <si>
    <t xml:space="preserve">OZONE ICE </t>
  </si>
  <si>
    <t>0726/203</t>
  </si>
  <si>
    <t>PRINTED CLEAR LAMINATED SHEETING</t>
  </si>
  <si>
    <t>0726/220</t>
  </si>
  <si>
    <t>0726/210</t>
  </si>
  <si>
    <t>0826/26</t>
  </si>
  <si>
    <t>0726/237</t>
  </si>
  <si>
    <t>0726/207</t>
  </si>
  <si>
    <t xml:space="preserve">UTSANZI </t>
  </si>
  <si>
    <t xml:space="preserve">PRINTED CLEAR C-FOLD </t>
  </si>
  <si>
    <t>0726/232</t>
  </si>
  <si>
    <t>0726/79</t>
  </si>
  <si>
    <t>750mm x 350mm x 1350mm x 40um</t>
  </si>
  <si>
    <t>0726/214</t>
  </si>
  <si>
    <t>0726/190</t>
  </si>
  <si>
    <t>0626/75</t>
  </si>
  <si>
    <t>140mm x 170mm x 70um</t>
  </si>
  <si>
    <t>0726/173</t>
  </si>
  <si>
    <t>0626/151</t>
  </si>
  <si>
    <t xml:space="preserve">HUBERG </t>
  </si>
  <si>
    <t>385mm x 230mm x 910mm x 50um</t>
  </si>
  <si>
    <t>0726/69</t>
  </si>
  <si>
    <t>0726/175</t>
  </si>
  <si>
    <t xml:space="preserve">BLACK SOIL </t>
  </si>
  <si>
    <t>380mm x 35um</t>
  </si>
  <si>
    <t>0726/71</t>
  </si>
  <si>
    <t>0726/145</t>
  </si>
  <si>
    <t>730mm x 55um</t>
  </si>
  <si>
    <t>0826/28</t>
  </si>
  <si>
    <t>0726/226</t>
  </si>
  <si>
    <t>0726/90</t>
  </si>
  <si>
    <t>0726/225</t>
  </si>
  <si>
    <t>0726/192</t>
  </si>
  <si>
    <t>180mm x 80mm x 450mm x 70um</t>
  </si>
  <si>
    <t>0826/37</t>
  </si>
  <si>
    <t>0826/10</t>
  </si>
  <si>
    <t>205mm x 595mm x 20um</t>
  </si>
  <si>
    <t>0726/219</t>
  </si>
  <si>
    <t>0826/27</t>
  </si>
  <si>
    <t>0826/04</t>
  </si>
  <si>
    <t>BEAMS &amp; RAYS</t>
  </si>
  <si>
    <t>285mm x 375mm x 80um</t>
  </si>
  <si>
    <t>0726/236</t>
  </si>
  <si>
    <t>0826/17</t>
  </si>
  <si>
    <t xml:space="preserve">VALOR </t>
  </si>
  <si>
    <t>0726/206</t>
  </si>
  <si>
    <t>0826/19</t>
  </si>
  <si>
    <t>0826/20</t>
  </si>
  <si>
    <t>230mm x 260mm x 940mm x 40um</t>
  </si>
  <si>
    <t>0726/01</t>
  </si>
  <si>
    <t>0726/146</t>
  </si>
  <si>
    <t>0526/57</t>
  </si>
  <si>
    <t>0726/139</t>
  </si>
  <si>
    <t>PRINTED LAMINATED AUTOPACK</t>
  </si>
  <si>
    <t>165mm x 130mm x 60um</t>
  </si>
  <si>
    <t>0726/76</t>
  </si>
  <si>
    <t>0726/181</t>
  </si>
  <si>
    <t>PALM HOSPITALITY</t>
  </si>
  <si>
    <t>600mm x 600mm x 30um</t>
  </si>
  <si>
    <t>0826/31</t>
  </si>
  <si>
    <t xml:space="preserve">LAKE HARVEST </t>
  </si>
  <si>
    <t>700mm x 700mm x 60um</t>
  </si>
  <si>
    <t>0826/40</t>
  </si>
  <si>
    <t>0826/08</t>
  </si>
  <si>
    <t>PACIFIC CIGARRETE</t>
  </si>
  <si>
    <t>0726/213</t>
  </si>
  <si>
    <t>0826/41</t>
  </si>
  <si>
    <t xml:space="preserve">MACHINE PALLETWRAP </t>
  </si>
  <si>
    <t>450mm x 17um</t>
  </si>
  <si>
    <t>0726/99</t>
  </si>
  <si>
    <t>0826/89</t>
  </si>
  <si>
    <t>PLAIN C-FOLD BOPP SHEETING</t>
  </si>
  <si>
    <t>0826/63</t>
  </si>
  <si>
    <t>CLEAR BOPP SHEETING</t>
  </si>
  <si>
    <t>390mm x 20um</t>
  </si>
  <si>
    <t xml:space="preserve">PRIME CROP </t>
  </si>
  <si>
    <t xml:space="preserve">HAND PALLETWRAP </t>
  </si>
  <si>
    <t>0726/222</t>
  </si>
  <si>
    <t>900mm x 270mm x 800mm x 30um</t>
  </si>
  <si>
    <t>0826/67</t>
  </si>
  <si>
    <t>0826/02</t>
  </si>
  <si>
    <t>PRINTED YELLOW LDPE SHEETING</t>
  </si>
  <si>
    <t xml:space="preserve">PRINTED LAMINATED AUTOPACK </t>
  </si>
  <si>
    <t>0826/75</t>
  </si>
  <si>
    <t>0726/130</t>
  </si>
  <si>
    <t>PRINTED WHITE LDPE TOUGHES SMALL</t>
  </si>
  <si>
    <t>0826/60</t>
  </si>
  <si>
    <t xml:space="preserve">DAFERA </t>
  </si>
  <si>
    <t>0726/218</t>
  </si>
  <si>
    <t>AGRIFORG</t>
  </si>
  <si>
    <t>225mm x 350mm x 55um</t>
  </si>
  <si>
    <t>0826/88</t>
  </si>
  <si>
    <t>PLAIN RED LDPE BINLINERS</t>
  </si>
  <si>
    <t>750mm x 950mm x 100um</t>
  </si>
  <si>
    <t>0826/36</t>
  </si>
  <si>
    <t xml:space="preserve">EVERY DAY </t>
  </si>
  <si>
    <t>PLAIN CLEAR LDPE SHRINK BAGS</t>
  </si>
  <si>
    <t>2.4mm x 100mm x 250um</t>
  </si>
  <si>
    <t>0826/15</t>
  </si>
  <si>
    <t>PRINTED C-FOLD SHEETING</t>
  </si>
  <si>
    <t>0826/16</t>
  </si>
  <si>
    <t>0826/21</t>
  </si>
  <si>
    <t>PRINTED CLEAR LDPE 2.5KG SPAR ICE BAGS</t>
  </si>
  <si>
    <t>0826/25</t>
  </si>
  <si>
    <t>0826/43</t>
  </si>
  <si>
    <t>0826/</t>
  </si>
  <si>
    <t>0726/131</t>
  </si>
  <si>
    <t>PRINTED WHITE HDPE TOUGHES LARGE</t>
  </si>
  <si>
    <t>0826/13</t>
  </si>
  <si>
    <t>PRINTED CLEAR BOPP SHEETING DONUNT</t>
  </si>
  <si>
    <t>PRINTED LAMINATED BOOP BAGS</t>
  </si>
  <si>
    <t xml:space="preserve">MNANDY </t>
  </si>
  <si>
    <t>0626/107</t>
  </si>
  <si>
    <t>0826/73</t>
  </si>
  <si>
    <t>FALNA TRADING</t>
  </si>
  <si>
    <t>365mm x 510mm x 45um</t>
  </si>
  <si>
    <t>0826/96</t>
  </si>
  <si>
    <t>0526/22</t>
  </si>
  <si>
    <t>246mm x 425mm x 100um</t>
  </si>
  <si>
    <t>0826/61</t>
  </si>
  <si>
    <t>PRINTED CLEAR 1KG BAGS</t>
  </si>
  <si>
    <t>0826/62</t>
  </si>
  <si>
    <t xml:space="preserve">CONNRUFF </t>
  </si>
  <si>
    <t>250mm x 290mm x 50mm x 35um</t>
  </si>
  <si>
    <t>0826/118</t>
  </si>
  <si>
    <t>AFRIFORA</t>
  </si>
  <si>
    <t>PRINTED CLEAR 5KG BREAST BAGS</t>
  </si>
  <si>
    <t>385mm x 500mm x 70um</t>
  </si>
  <si>
    <t>0826/117</t>
  </si>
  <si>
    <t>PRINTED CLEAR 5KG DRUMS BAGS</t>
  </si>
  <si>
    <t>0826/116</t>
  </si>
  <si>
    <t>PRINTED CLEAR 5KG WINGS BAGS</t>
  </si>
  <si>
    <t>0826/115</t>
  </si>
  <si>
    <t>PRINTED CLEAR 5KG THIGHS BAGS</t>
  </si>
  <si>
    <t>0726/215</t>
  </si>
  <si>
    <t>270mm x 30um</t>
  </si>
  <si>
    <t xml:space="preserve">PRINTED WHITE LDPE AUTOPACK MILKY </t>
  </si>
  <si>
    <t>0826/129</t>
  </si>
  <si>
    <t>0826/06</t>
  </si>
  <si>
    <t>0826/102</t>
  </si>
  <si>
    <t>0826/07</t>
  </si>
  <si>
    <t>GROBBIE</t>
  </si>
  <si>
    <t>260mm x 40um</t>
  </si>
  <si>
    <t>PRINTED BOPP MATALIZED LAMINATED SHEETING (sweet chilli)</t>
  </si>
  <si>
    <t>PRINTED BOPP MATALIZED LAMINATED SHEETING (fruit chutney)</t>
  </si>
  <si>
    <t>0826/130</t>
  </si>
  <si>
    <t>PRINTED BOPP CLEAR BAGS</t>
  </si>
  <si>
    <t>0826/22</t>
  </si>
  <si>
    <t>FRUIT IT</t>
  </si>
  <si>
    <t>150mm x 150mm x 500mm x 150um</t>
  </si>
  <si>
    <t>0826/32</t>
  </si>
  <si>
    <t xml:space="preserve">PECTRA </t>
  </si>
  <si>
    <t>205mm x 205mm x 80um</t>
  </si>
  <si>
    <t>0826/119</t>
  </si>
  <si>
    <t>100mm x 40mm x 225mm x 60um</t>
  </si>
  <si>
    <t>0826/38</t>
  </si>
  <si>
    <t>0826/09</t>
  </si>
  <si>
    <t>540mm x 645mm x 30um</t>
  </si>
  <si>
    <t>0726/204</t>
  </si>
  <si>
    <t>0826/131</t>
  </si>
  <si>
    <t>0826/146</t>
  </si>
  <si>
    <t>0826/108</t>
  </si>
  <si>
    <t>0826/72</t>
  </si>
  <si>
    <t>TASTY FOODS</t>
  </si>
  <si>
    <t>0826/151</t>
  </si>
  <si>
    <t>PLAIN CLEAR SLEEVES BAGS</t>
  </si>
  <si>
    <t>254mm x 355mm x 20um</t>
  </si>
  <si>
    <t xml:space="preserve">MUTARE PACKAGING </t>
  </si>
  <si>
    <t>GROBBIE BEST FOODS</t>
  </si>
  <si>
    <t>PRINTED CLEAR 1KG AUTOPACK</t>
  </si>
  <si>
    <t>0826/48</t>
  </si>
  <si>
    <t>0826/76</t>
  </si>
  <si>
    <t>PRINTED WHITE LAM/BOPP BAGS</t>
  </si>
  <si>
    <t>0826/136</t>
  </si>
  <si>
    <t xml:space="preserve">LANDEKA </t>
  </si>
  <si>
    <t>132mm x 330mm x 30um</t>
  </si>
  <si>
    <t>0626/208</t>
  </si>
  <si>
    <t>0626/165</t>
  </si>
  <si>
    <t xml:space="preserve">SUPERSTICKY </t>
  </si>
  <si>
    <t>0826/79</t>
  </si>
  <si>
    <t>0826/143</t>
  </si>
  <si>
    <t xml:space="preserve">MAOKOPAMWE </t>
  </si>
  <si>
    <t>PRINTED CLEAR BOPP CHELSEA BAN AUTOPACK</t>
  </si>
  <si>
    <t>0826/142</t>
  </si>
  <si>
    <t>PRINTED CLEAR BOPP SWEET BAN AUTOPACK</t>
  </si>
  <si>
    <t>0626/166</t>
  </si>
  <si>
    <t>0826/138</t>
  </si>
  <si>
    <t>DIRECTORY</t>
  </si>
  <si>
    <t>0826/70</t>
  </si>
  <si>
    <t>R. CHITENGA</t>
  </si>
  <si>
    <t>0826/05</t>
  </si>
  <si>
    <t>PRINTED LAMINATED BOPP SHEETING</t>
  </si>
  <si>
    <t>0826/69</t>
  </si>
  <si>
    <t>0826/46</t>
  </si>
  <si>
    <t>0826/165</t>
  </si>
  <si>
    <t xml:space="preserve">UNLIMITED </t>
  </si>
  <si>
    <t>700mm x 40um</t>
  </si>
  <si>
    <t>0826/23</t>
  </si>
  <si>
    <t>90mm x 90mm x 345mm x 90um</t>
  </si>
  <si>
    <t>0826/147</t>
  </si>
  <si>
    <t>0826/161</t>
  </si>
  <si>
    <t>0826/135</t>
  </si>
  <si>
    <t xml:space="preserve">MUCHENJE </t>
  </si>
  <si>
    <t>125mm x 60mm x 150mm x 70um</t>
  </si>
  <si>
    <t>0526/120</t>
  </si>
  <si>
    <t>0826/71</t>
  </si>
  <si>
    <t>0826/175</t>
  </si>
  <si>
    <t>0826/185</t>
  </si>
  <si>
    <t>SURFACE WILMAR</t>
  </si>
  <si>
    <t>510mm x 80um</t>
  </si>
  <si>
    <t>0826/56</t>
  </si>
  <si>
    <t>550mm x 90um</t>
  </si>
  <si>
    <t>PRINTED CLEAR 2.5KG MR CHANDO BAGS</t>
  </si>
  <si>
    <t>285mm x 500mm x 70um</t>
  </si>
  <si>
    <t>0526/110</t>
  </si>
  <si>
    <t>PRINTED CLEAR 5KG MR CHANDO BAGS</t>
  </si>
  <si>
    <t xml:space="preserve">285mm x 650mm x 70um </t>
  </si>
  <si>
    <t>0826/120</t>
  </si>
  <si>
    <t>0826/78</t>
  </si>
  <si>
    <t>0826/170</t>
  </si>
  <si>
    <t>0826/149</t>
  </si>
  <si>
    <t>0826/188</t>
  </si>
  <si>
    <t>180mm x 275mm x 80um</t>
  </si>
  <si>
    <t>0826/132</t>
  </si>
  <si>
    <t>0826/34</t>
  </si>
  <si>
    <t>SWEDCO</t>
  </si>
  <si>
    <t>220mm x 300mm x 100um</t>
  </si>
  <si>
    <t>0826/172</t>
  </si>
  <si>
    <t>0826/190</t>
  </si>
  <si>
    <t>0826/104</t>
  </si>
  <si>
    <t>0826/206</t>
  </si>
  <si>
    <t>90mm x 40mm x 335mm x 30um</t>
  </si>
  <si>
    <t>0826/183</t>
  </si>
  <si>
    <t>MRS TAGARA</t>
  </si>
  <si>
    <t>0227/177</t>
  </si>
  <si>
    <t>PRINTED 2.5KG MR CHANDO ICE BAGS</t>
  </si>
  <si>
    <t>0826/160</t>
  </si>
  <si>
    <t>580mm x 80um</t>
  </si>
  <si>
    <t>0826/208</t>
  </si>
  <si>
    <t>BREASTPLATE</t>
  </si>
  <si>
    <t>PLAIN SHRINKWRAP SHEETING</t>
  </si>
  <si>
    <t>PRINTED CLEAR BOPP DOUGHNUTS</t>
  </si>
  <si>
    <t>400mm x 30um</t>
  </si>
  <si>
    <t xml:space="preserve">PRINTED CLEAR BOPP SCONIE </t>
  </si>
  <si>
    <t xml:space="preserve">COMPLETED </t>
  </si>
  <si>
    <t>PRINTED CLEAR BOPP CREAM DONUTS</t>
  </si>
  <si>
    <t>PRINTED CLEAR BOPP FATFREE</t>
  </si>
  <si>
    <t>PRINTED CLEAR BOPP C/FOLD</t>
  </si>
  <si>
    <t xml:space="preserve">PRINTED WHITE HDPE TOUGHES </t>
  </si>
  <si>
    <t>0726/134</t>
  </si>
  <si>
    <t>PRINTED WHITE HDPE ME &amp; COMFORTABLE</t>
  </si>
  <si>
    <t>330mm x 460mm x 40um</t>
  </si>
  <si>
    <t>0826/105</t>
  </si>
  <si>
    <t>0826/181</t>
  </si>
  <si>
    <t>455mm x 420mm x 75um</t>
  </si>
  <si>
    <t xml:space="preserve">HUBERGLOW </t>
  </si>
  <si>
    <t>0826/77</t>
  </si>
  <si>
    <t>GLOBAL REF</t>
  </si>
  <si>
    <t>0826/140</t>
  </si>
  <si>
    <t xml:space="preserve">SWEDCO </t>
  </si>
  <si>
    <t>170mm x 200mm x 40um</t>
  </si>
  <si>
    <t>0826/144</t>
  </si>
  <si>
    <t>KASHEP ENTERPRICES</t>
  </si>
  <si>
    <t>0826/52</t>
  </si>
  <si>
    <t>0826/55</t>
  </si>
  <si>
    <t>0826/213</t>
  </si>
  <si>
    <t xml:space="preserve">PRACTIMUS </t>
  </si>
  <si>
    <t>0826/97</t>
  </si>
  <si>
    <t>PRINTED CLEAR C-FOLD BOPP SHEETING</t>
  </si>
  <si>
    <t>0826/145</t>
  </si>
  <si>
    <t xml:space="preserve">ABOVE MILLERS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</si>
</sst>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[$-F400]h:mm:ss\ AM/PM"/>
    <numFmt numFmtId="166" formatCode="#,##0_ ;\-#,##0\ 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4" fontId="3" fillId="3" borderId="2" xfId="0" applyNumberFormat="1" applyFont="1" applyFill="1" applyBorder="1" applyAlignment="1">
      <alignment horizontal="center" wrapText="1"/>
    </xf>
    <xf numFmtId="4" fontId="4" fillId="3" borderId="2" xfId="0" applyNumberFormat="1" applyFont="1" applyFill="1" applyBorder="1" applyAlignment="1">
      <alignment horizontal="center" wrapText="1"/>
    </xf>
    <xf numFmtId="4" fontId="5" fillId="3" borderId="2" xfId="0" applyNumberFormat="1" applyFont="1" applyFill="1" applyBorder="1" applyAlignment="1">
      <alignment wrapText="1"/>
    </xf>
    <xf numFmtId="0" fontId="2" fillId="3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4" borderId="5" xfId="0" applyFont="1" applyFill="1" applyBorder="1"/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4" fontId="1" fillId="3" borderId="7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1" fillId="2" borderId="8" xfId="0" applyFont="1" applyFill="1" applyBorder="1"/>
    <xf numFmtId="0" fontId="3" fillId="4" borderId="9" xfId="0" applyFont="1" applyFill="1" applyBorder="1"/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4" fontId="1" fillId="3" borderId="11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0" fontId="1" fillId="2" borderId="12" xfId="0" applyFont="1" applyFill="1" applyBorder="1"/>
    <xf numFmtId="0" fontId="3" fillId="4" borderId="13" xfId="0" applyFont="1" applyFill="1" applyBorder="1"/>
    <xf numFmtId="0" fontId="0" fillId="5" borderId="7" xfId="0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65" fontId="0" fillId="5" borderId="15" xfId="0" applyNumberFormat="1" applyFill="1" applyBorder="1" applyAlignment="1">
      <alignment horizontal="center"/>
    </xf>
    <xf numFmtId="4" fontId="1" fillId="3" borderId="15" xfId="0" applyNumberFormat="1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0" fontId="1" fillId="2" borderId="16" xfId="0" applyFont="1" applyFill="1" applyBorder="1"/>
    <xf numFmtId="0" fontId="3" fillId="4" borderId="17" xfId="0" applyFont="1" applyFill="1" applyBorder="1"/>
    <xf numFmtId="0" fontId="2" fillId="6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4" fontId="1" fillId="3" borderId="11" xfId="0" applyNumberFormat="1" applyFont="1" applyFill="1" applyBorder="1" applyAlignment="1">
      <alignment horizontal="left" indent="1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165" fontId="0" fillId="5" borderId="19" xfId="0" applyNumberForma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4" fontId="1" fillId="3" borderId="19" xfId="0" applyNumberFormat="1" applyFont="1" applyFill="1" applyBorder="1" applyAlignment="1">
      <alignment horizontal="center"/>
    </xf>
    <xf numFmtId="164" fontId="1" fillId="3" borderId="19" xfId="0" applyNumberFormat="1" applyFont="1" applyFill="1" applyBorder="1" applyAlignment="1">
      <alignment horizontal="center"/>
    </xf>
    <xf numFmtId="0" fontId="1" fillId="2" borderId="20" xfId="0" applyFont="1" applyFill="1" applyBorder="1"/>
    <xf numFmtId="0" fontId="3" fillId="4" borderId="21" xfId="0" applyFont="1" applyFill="1" applyBorder="1"/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165" fontId="0" fillId="5" borderId="24" xfId="0" applyNumberForma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4" fontId="1" fillId="3" borderId="24" xfId="0" applyNumberFormat="1" applyFont="1" applyFill="1" applyBorder="1" applyAlignment="1">
      <alignment horizontal="center"/>
    </xf>
    <xf numFmtId="164" fontId="1" fillId="3" borderId="24" xfId="0" applyNumberFormat="1" applyFont="1" applyFill="1" applyBorder="1" applyAlignment="1">
      <alignment horizontal="center"/>
    </xf>
    <xf numFmtId="0" fontId="1" fillId="2" borderId="25" xfId="0" applyFont="1" applyFill="1" applyBorder="1"/>
    <xf numFmtId="0" fontId="3" fillId="4" borderId="26" xfId="0" applyFont="1" applyFill="1" applyBorder="1"/>
    <xf numFmtId="0" fontId="0" fillId="0" borderId="22" xfId="0" applyBorder="1"/>
    <xf numFmtId="4" fontId="1" fillId="3" borderId="19" xfId="0" applyNumberFormat="1" applyFont="1" applyFill="1" applyBorder="1" applyAlignment="1">
      <alignment horizontal="left" indent="1"/>
    </xf>
    <xf numFmtId="165" fontId="6" fillId="0" borderId="0" xfId="0" applyNumberFormat="1" applyFont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165" fontId="6" fillId="5" borderId="7" xfId="0" applyNumberFormat="1" applyFont="1" applyFill="1" applyBorder="1" applyAlignment="1">
      <alignment horizontal="center"/>
    </xf>
    <xf numFmtId="165" fontId="6" fillId="5" borderId="11" xfId="0" applyNumberFormat="1" applyFont="1" applyFill="1" applyBorder="1" applyAlignment="1">
      <alignment horizontal="center"/>
    </xf>
    <xf numFmtId="165" fontId="6" fillId="5" borderId="19" xfId="0" applyNumberFormat="1" applyFont="1" applyFill="1" applyBorder="1" applyAlignment="1">
      <alignment horizontal="center"/>
    </xf>
    <xf numFmtId="165" fontId="6" fillId="5" borderId="15" xfId="0" applyNumberFormat="1" applyFont="1" applyFill="1" applyBorder="1" applyAlignment="1">
      <alignment horizontal="center"/>
    </xf>
    <xf numFmtId="0" fontId="6" fillId="0" borderId="0" xfId="0" applyFont="1"/>
    <xf numFmtId="4" fontId="1" fillId="3" borderId="11" xfId="0" applyNumberFormat="1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165" fontId="6" fillId="5" borderId="28" xfId="0" applyNumberFormat="1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4" fontId="1" fillId="3" borderId="28" xfId="0" applyNumberFormat="1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0" fontId="1" fillId="2" borderId="29" xfId="0" applyFont="1" applyFill="1" applyBorder="1"/>
    <xf numFmtId="0" fontId="3" fillId="4" borderId="30" xfId="0" applyFont="1" applyFill="1" applyBorder="1"/>
    <xf numFmtId="0" fontId="1" fillId="5" borderId="31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4" fontId="1" fillId="3" borderId="32" xfId="0" applyNumberFormat="1" applyFont="1" applyFill="1" applyBorder="1" applyAlignment="1">
      <alignment horizontal="center"/>
    </xf>
    <xf numFmtId="4" fontId="1" fillId="3" borderId="32" xfId="0" applyNumberFormat="1" applyFont="1" applyFill="1" applyBorder="1" applyAlignment="1">
      <alignment horizontal="left" indent="1"/>
    </xf>
    <xf numFmtId="164" fontId="1" fillId="3" borderId="32" xfId="0" applyNumberFormat="1" applyFont="1" applyFill="1" applyBorder="1" applyAlignment="1">
      <alignment horizontal="center"/>
    </xf>
    <xf numFmtId="0" fontId="1" fillId="2" borderId="33" xfId="0" applyFont="1" applyFill="1" applyBorder="1"/>
    <xf numFmtId="0" fontId="3" fillId="4" borderId="34" xfId="0" applyFont="1" applyFill="1" applyBorder="1"/>
    <xf numFmtId="43" fontId="0" fillId="0" borderId="0" xfId="1" applyFont="1"/>
    <xf numFmtId="166" fontId="0" fillId="0" borderId="0" xfId="1" applyNumberFormat="1" applyFont="1"/>
    <xf numFmtId="0" fontId="0" fillId="0" borderId="0" xfId="0" applyAlignment="1">
      <alignment horizontal="center"/>
    </xf>
    <xf numFmtId="0" fontId="1" fillId="5" borderId="1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1"/>
  <sheetViews>
    <sheetView workbookViewId="0">
      <pane xSplit="3" topLeftCell="E1" activePane="topRight" state="frozen"/>
      <selection pane="topRight" activeCell="I14" sqref="I14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105</v>
      </c>
      <c r="C4" s="26" t="s">
        <v>15</v>
      </c>
      <c r="D4" s="27" t="s">
        <v>73</v>
      </c>
      <c r="E4" s="39" t="s">
        <v>106</v>
      </c>
      <c r="F4" s="16">
        <v>9385</v>
      </c>
      <c r="G4" s="16">
        <v>100000</v>
      </c>
      <c r="H4" s="17">
        <f>20000+9385</f>
        <v>29385</v>
      </c>
      <c r="I4" s="16">
        <f t="shared" ref="I4:I5" si="0">G4-H4</f>
        <v>70615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97</v>
      </c>
      <c r="C5" s="28" t="s">
        <v>98</v>
      </c>
      <c r="D5" s="29" t="s">
        <v>18</v>
      </c>
      <c r="E5" s="40" t="s">
        <v>99</v>
      </c>
      <c r="F5" s="22">
        <v>6200</v>
      </c>
      <c r="G5" s="22">
        <v>47500</v>
      </c>
      <c r="H5" s="23">
        <f>3050+4250+6200</f>
        <v>13500</v>
      </c>
      <c r="I5" s="22">
        <f t="shared" si="0"/>
        <v>34000</v>
      </c>
      <c r="J5" s="22" t="s">
        <v>16</v>
      </c>
      <c r="K5" s="24"/>
      <c r="L5" s="25"/>
    </row>
    <row r="6" spans="1:12" ht="15.75" x14ac:dyDescent="0.25">
      <c r="A6" s="20" t="s">
        <v>28</v>
      </c>
      <c r="B6" s="21" t="s">
        <v>111</v>
      </c>
      <c r="C6" s="28" t="s">
        <v>15</v>
      </c>
      <c r="D6" s="29" t="s">
        <v>18</v>
      </c>
      <c r="E6" s="40" t="s">
        <v>112</v>
      </c>
      <c r="F6" s="22">
        <v>18500</v>
      </c>
      <c r="G6" s="22">
        <v>75200</v>
      </c>
      <c r="H6" s="23">
        <f>18500</f>
        <v>18500</v>
      </c>
      <c r="I6" s="22">
        <f>G6-H6</f>
        <v>56700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114</v>
      </c>
      <c r="C7" s="28" t="s">
        <v>115</v>
      </c>
      <c r="D7" s="29" t="s">
        <v>43</v>
      </c>
      <c r="E7" s="40" t="s">
        <v>38</v>
      </c>
      <c r="F7" s="22">
        <v>642.70000000000005</v>
      </c>
      <c r="G7" s="22">
        <v>3000</v>
      </c>
      <c r="H7" s="23">
        <v>642.70000000000005</v>
      </c>
      <c r="I7" s="22">
        <f>G7-H7</f>
        <v>2357.3000000000002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108</v>
      </c>
      <c r="C8" s="28" t="s">
        <v>85</v>
      </c>
      <c r="D8" s="29" t="s">
        <v>92</v>
      </c>
      <c r="E8" s="40" t="s">
        <v>38</v>
      </c>
      <c r="F8" s="22">
        <v>77</v>
      </c>
      <c r="G8" s="22">
        <v>1500</v>
      </c>
      <c r="H8" s="23">
        <f>539.7+662.9+77</f>
        <v>1279.5999999999999</v>
      </c>
      <c r="I8" s="22">
        <f t="shared" ref="I8" si="1">G8-H8</f>
        <v>220.40000000000009</v>
      </c>
      <c r="J8" s="22" t="s">
        <v>16</v>
      </c>
      <c r="K8" s="24"/>
      <c r="L8" s="25"/>
    </row>
    <row r="9" spans="1:12" ht="15.75" x14ac:dyDescent="0.25">
      <c r="A9" s="20" t="s">
        <v>103</v>
      </c>
      <c r="B9" s="21" t="s">
        <v>60</v>
      </c>
      <c r="C9" s="28" t="s">
        <v>61</v>
      </c>
      <c r="D9" s="29" t="s">
        <v>93</v>
      </c>
      <c r="E9" s="40" t="s">
        <v>104</v>
      </c>
      <c r="F9" s="22">
        <v>197.6</v>
      </c>
      <c r="G9" s="22">
        <v>300</v>
      </c>
      <c r="H9" s="23">
        <f>87+197.6</f>
        <v>284.60000000000002</v>
      </c>
      <c r="I9" s="22">
        <f>G9-H9</f>
        <v>15.399999999999977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188</v>
      </c>
      <c r="C10" s="28" t="s">
        <v>41</v>
      </c>
      <c r="D10" s="29" t="s">
        <v>116</v>
      </c>
      <c r="E10" s="40" t="s">
        <v>189</v>
      </c>
      <c r="F10" s="22">
        <v>9000</v>
      </c>
      <c r="G10" s="22">
        <v>60000</v>
      </c>
      <c r="H10" s="23">
        <f>32150+9000</f>
        <v>41150</v>
      </c>
      <c r="I10" s="22">
        <f>G10-H10</f>
        <v>18850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120</v>
      </c>
      <c r="C11" s="28" t="s">
        <v>41</v>
      </c>
      <c r="D11" s="29" t="s">
        <v>121</v>
      </c>
      <c r="E11" s="40" t="s">
        <v>122</v>
      </c>
      <c r="F11" s="22">
        <v>25480</v>
      </c>
      <c r="G11" s="22">
        <v>19200</v>
      </c>
      <c r="H11" s="23">
        <v>25480</v>
      </c>
      <c r="I11" s="22">
        <f t="shared" ref="I11:I16" si="2">G11-H11</f>
        <v>-6280</v>
      </c>
      <c r="J11" s="22" t="s">
        <v>24</v>
      </c>
      <c r="K11" s="24"/>
      <c r="L11" s="25"/>
    </row>
    <row r="12" spans="1:12" ht="15.75" x14ac:dyDescent="0.25">
      <c r="A12" s="20" t="s">
        <v>21</v>
      </c>
      <c r="B12" s="21" t="s">
        <v>123</v>
      </c>
      <c r="C12" s="28" t="s">
        <v>41</v>
      </c>
      <c r="D12" s="29" t="s">
        <v>174</v>
      </c>
      <c r="E12" s="40" t="s">
        <v>125</v>
      </c>
      <c r="F12" s="22">
        <v>6000</v>
      </c>
      <c r="G12" s="22">
        <v>8360</v>
      </c>
      <c r="H12" s="23">
        <v>6000</v>
      </c>
      <c r="I12" s="22">
        <f t="shared" si="2"/>
        <v>2360</v>
      </c>
      <c r="J12" s="22" t="s">
        <v>16</v>
      </c>
      <c r="K12" s="24"/>
      <c r="L12" s="25"/>
    </row>
    <row r="13" spans="1:12" ht="15.75" x14ac:dyDescent="0.25">
      <c r="A13" s="20" t="s">
        <v>25</v>
      </c>
      <c r="B13" s="21" t="s">
        <v>110</v>
      </c>
      <c r="C13" s="28" t="s">
        <v>15</v>
      </c>
      <c r="D13" s="29" t="s">
        <v>84</v>
      </c>
      <c r="E13" s="40" t="s">
        <v>72</v>
      </c>
      <c r="F13" s="22">
        <v>765.6</v>
      </c>
      <c r="G13" s="22">
        <v>1000</v>
      </c>
      <c r="H13" s="23">
        <f>247.6+765.6</f>
        <v>1013.2</v>
      </c>
      <c r="I13" s="22">
        <f t="shared" si="2"/>
        <v>-13.200000000000045</v>
      </c>
      <c r="J13" s="22" t="s">
        <v>24</v>
      </c>
      <c r="K13" s="24"/>
      <c r="L13" s="25"/>
    </row>
    <row r="14" spans="1:12" ht="15.75" x14ac:dyDescent="0.25">
      <c r="A14" s="20" t="s">
        <v>20</v>
      </c>
      <c r="B14" s="21" t="s">
        <v>117</v>
      </c>
      <c r="C14" s="28" t="s">
        <v>118</v>
      </c>
      <c r="D14" s="29" t="s">
        <v>18</v>
      </c>
      <c r="E14" s="40" t="s">
        <v>119</v>
      </c>
      <c r="F14" s="22">
        <v>4630</v>
      </c>
      <c r="G14" s="22">
        <v>5000</v>
      </c>
      <c r="H14" s="23">
        <v>4630</v>
      </c>
      <c r="I14" s="22">
        <f t="shared" si="2"/>
        <v>370</v>
      </c>
      <c r="J14" s="22" t="s">
        <v>31</v>
      </c>
      <c r="K14" s="24"/>
      <c r="L14" s="25"/>
    </row>
    <row r="15" spans="1:12" ht="15.75" x14ac:dyDescent="0.25">
      <c r="A15" s="20" t="s">
        <v>22</v>
      </c>
      <c r="B15" s="21" t="s">
        <v>113</v>
      </c>
      <c r="C15" s="28" t="s">
        <v>88</v>
      </c>
      <c r="D15" s="29" t="s">
        <v>92</v>
      </c>
      <c r="E15" s="40" t="s">
        <v>90</v>
      </c>
      <c r="F15" s="22">
        <v>100.7</v>
      </c>
      <c r="G15" s="22">
        <v>1500</v>
      </c>
      <c r="H15" s="23">
        <v>100.7</v>
      </c>
      <c r="I15" s="22">
        <f t="shared" si="2"/>
        <v>1399.3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94</v>
      </c>
      <c r="C16" s="28" t="s">
        <v>95</v>
      </c>
      <c r="D16" s="29" t="s">
        <v>77</v>
      </c>
      <c r="E16" s="40" t="s">
        <v>96</v>
      </c>
      <c r="F16" s="22">
        <v>12000</v>
      </c>
      <c r="G16" s="22">
        <v>200000</v>
      </c>
      <c r="H16" s="23">
        <f>8000+15000+12000+12000</f>
        <v>47000</v>
      </c>
      <c r="I16" s="22">
        <f t="shared" si="2"/>
        <v>153000</v>
      </c>
      <c r="J16" s="22" t="s">
        <v>16</v>
      </c>
      <c r="K16" s="24"/>
      <c r="L16" s="25"/>
    </row>
    <row r="17" spans="1:12" ht="15.75" x14ac:dyDescent="0.25">
      <c r="A17" s="20" t="s">
        <v>30</v>
      </c>
      <c r="B17" s="21" t="s">
        <v>63</v>
      </c>
      <c r="C17" s="28" t="s">
        <v>109</v>
      </c>
      <c r="D17" s="29" t="s">
        <v>48</v>
      </c>
      <c r="E17" s="40" t="s">
        <v>49</v>
      </c>
      <c r="F17" s="22">
        <v>40800</v>
      </c>
      <c r="G17" s="22">
        <v>135000</v>
      </c>
      <c r="H17" s="23">
        <f>137500+40800</f>
        <v>178300</v>
      </c>
      <c r="I17" s="22">
        <f t="shared" ref="I17:I21" si="3">G17-H17</f>
        <v>-43300</v>
      </c>
      <c r="J17" s="22" t="s">
        <v>24</v>
      </c>
      <c r="K17" s="24"/>
      <c r="L17" s="25"/>
    </row>
    <row r="18" spans="1:12" ht="15.75" x14ac:dyDescent="0.25">
      <c r="A18" s="20" t="s">
        <v>40</v>
      </c>
      <c r="B18" s="21" t="s">
        <v>67</v>
      </c>
      <c r="C18" s="28" t="s">
        <v>15</v>
      </c>
      <c r="D18" s="29" t="s">
        <v>68</v>
      </c>
      <c r="E18" s="40" t="s">
        <v>69</v>
      </c>
      <c r="F18" s="22">
        <v>40000</v>
      </c>
      <c r="G18" s="22">
        <v>2000000</v>
      </c>
      <c r="H18" s="23">
        <f>186000+70000+60000+40000</f>
        <v>356000</v>
      </c>
      <c r="I18" s="22">
        <f t="shared" si="3"/>
        <v>1644000</v>
      </c>
      <c r="J18" s="22" t="s">
        <v>16</v>
      </c>
      <c r="K18" s="24"/>
      <c r="L18" s="25"/>
    </row>
    <row r="19" spans="1:12" ht="15.75" x14ac:dyDescent="0.25">
      <c r="A19" s="20" t="s">
        <v>28</v>
      </c>
      <c r="B19" s="21" t="s">
        <v>100</v>
      </c>
      <c r="C19" s="28" t="s">
        <v>34</v>
      </c>
      <c r="D19" s="29" t="s">
        <v>18</v>
      </c>
      <c r="E19" s="40" t="s">
        <v>101</v>
      </c>
      <c r="F19" s="22">
        <v>25000</v>
      </c>
      <c r="G19" s="22">
        <v>150000</v>
      </c>
      <c r="H19" s="23">
        <f>56000+56000+25000</f>
        <v>137000</v>
      </c>
      <c r="I19" s="22">
        <f t="shared" si="3"/>
        <v>13000</v>
      </c>
      <c r="J19" s="22" t="s">
        <v>16</v>
      </c>
      <c r="K19" s="24"/>
      <c r="L19" s="25"/>
    </row>
    <row r="20" spans="1:12" ht="15.75" x14ac:dyDescent="0.25">
      <c r="A20" s="20" t="s">
        <v>19</v>
      </c>
      <c r="B20" s="21" t="s">
        <v>102</v>
      </c>
      <c r="C20" s="28" t="s">
        <v>15</v>
      </c>
      <c r="D20" s="29" t="s">
        <v>53</v>
      </c>
      <c r="E20" s="40" t="s">
        <v>55</v>
      </c>
      <c r="F20" s="22">
        <v>7000</v>
      </c>
      <c r="G20" s="22">
        <v>100000</v>
      </c>
      <c r="H20" s="23">
        <f>29000+12500+7000</f>
        <v>48500</v>
      </c>
      <c r="I20" s="22">
        <f t="shared" si="3"/>
        <v>51500</v>
      </c>
      <c r="J20" s="22" t="s">
        <v>16</v>
      </c>
      <c r="K20" s="24"/>
      <c r="L20" s="25"/>
    </row>
    <row r="21" spans="1:12" ht="15.75" x14ac:dyDescent="0.25">
      <c r="A21" s="20" t="s">
        <v>22</v>
      </c>
      <c r="B21" s="21" t="s">
        <v>87</v>
      </c>
      <c r="C21" s="28" t="s">
        <v>88</v>
      </c>
      <c r="D21" s="29" t="s">
        <v>89</v>
      </c>
      <c r="E21" s="40" t="s">
        <v>90</v>
      </c>
      <c r="F21" s="22">
        <v>557.70000000000005</v>
      </c>
      <c r="G21" s="22">
        <v>1500</v>
      </c>
      <c r="H21" s="23">
        <f>295.3+230.3+427.3+557.7</f>
        <v>1510.6000000000001</v>
      </c>
      <c r="I21" s="22">
        <f t="shared" si="3"/>
        <v>-10.600000000000136</v>
      </c>
      <c r="J21" s="22" t="s">
        <v>24</v>
      </c>
      <c r="K21" s="24"/>
      <c r="L21" s="25"/>
    </row>
    <row r="22" spans="1:12" ht="16.5" thickBot="1" x14ac:dyDescent="0.3">
      <c r="A22" s="30"/>
      <c r="B22" s="31"/>
      <c r="C22" s="32"/>
      <c r="D22" s="33"/>
      <c r="E22" s="41"/>
      <c r="F22" s="34"/>
      <c r="G22" s="34"/>
      <c r="H22" s="35"/>
      <c r="I22" s="34"/>
      <c r="J22" s="34" t="s">
        <v>64</v>
      </c>
      <c r="K22" s="36"/>
      <c r="L22" s="37"/>
    </row>
    <row r="31" spans="1:12" x14ac:dyDescent="0.25">
      <c r="D31">
        <f>D34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1"/>
  <sheetViews>
    <sheetView workbookViewId="0">
      <pane xSplit="3" topLeftCell="E1" activePane="topRight" state="frozen"/>
      <selection pane="topRight" activeCell="A10" sqref="A10:XFD10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129</v>
      </c>
      <c r="C4" s="26" t="s">
        <v>130</v>
      </c>
      <c r="D4" s="27" t="s">
        <v>131</v>
      </c>
      <c r="E4" s="39" t="s">
        <v>132</v>
      </c>
      <c r="F4" s="16">
        <v>27000</v>
      </c>
      <c r="G4" s="16">
        <v>50000</v>
      </c>
      <c r="H4" s="17">
        <v>27000</v>
      </c>
      <c r="I4" s="16">
        <f t="shared" ref="I4:I5" si="0">G4-H4</f>
        <v>23000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97</v>
      </c>
      <c r="C5" s="28" t="s">
        <v>98</v>
      </c>
      <c r="D5" s="29" t="s">
        <v>18</v>
      </c>
      <c r="E5" s="40" t="s">
        <v>99</v>
      </c>
      <c r="F5" s="22">
        <v>3250</v>
      </c>
      <c r="G5" s="22">
        <v>47500</v>
      </c>
      <c r="H5" s="23">
        <f>3050+4250+6200+3250</f>
        <v>16750</v>
      </c>
      <c r="I5" s="22">
        <f t="shared" si="0"/>
        <v>30750</v>
      </c>
      <c r="J5" s="22" t="s">
        <v>16</v>
      </c>
      <c r="K5" s="24"/>
      <c r="L5" s="25"/>
    </row>
    <row r="6" spans="1:12" ht="15.75" x14ac:dyDescent="0.25">
      <c r="A6" s="20" t="s">
        <v>28</v>
      </c>
      <c r="B6" s="21" t="s">
        <v>111</v>
      </c>
      <c r="C6" s="28" t="s">
        <v>15</v>
      </c>
      <c r="D6" s="29" t="s">
        <v>18</v>
      </c>
      <c r="E6" s="40" t="s">
        <v>112</v>
      </c>
      <c r="F6" s="22">
        <v>28000</v>
      </c>
      <c r="G6" s="22">
        <v>75200</v>
      </c>
      <c r="H6" s="23">
        <f>18500+28000</f>
        <v>46500</v>
      </c>
      <c r="I6" s="22">
        <f>G6-H6</f>
        <v>28700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114</v>
      </c>
      <c r="C7" s="28" t="s">
        <v>115</v>
      </c>
      <c r="D7" s="29" t="s">
        <v>43</v>
      </c>
      <c r="E7" s="40" t="s">
        <v>38</v>
      </c>
      <c r="F7" s="22">
        <v>316.2</v>
      </c>
      <c r="G7" s="22">
        <v>3000</v>
      </c>
      <c r="H7" s="23">
        <f>642.7+316.2</f>
        <v>958.90000000000009</v>
      </c>
      <c r="I7" s="22">
        <f>G7-H7</f>
        <v>2041.1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108</v>
      </c>
      <c r="C8" s="28" t="s">
        <v>85</v>
      </c>
      <c r="D8" s="29" t="s">
        <v>92</v>
      </c>
      <c r="E8" s="40" t="s">
        <v>38</v>
      </c>
      <c r="F8" s="22">
        <v>268</v>
      </c>
      <c r="G8" s="22">
        <v>1500</v>
      </c>
      <c r="H8" s="23">
        <f>539.7+662.9+77+268</f>
        <v>1547.6</v>
      </c>
      <c r="I8" s="22">
        <f t="shared" ref="I8" si="1">G8-H8</f>
        <v>-47.599999999999909</v>
      </c>
      <c r="J8" s="22" t="s">
        <v>24</v>
      </c>
      <c r="K8" s="24"/>
      <c r="L8" s="25"/>
    </row>
    <row r="9" spans="1:12" ht="15.75" x14ac:dyDescent="0.25">
      <c r="A9" s="20" t="s">
        <v>175</v>
      </c>
      <c r="B9" s="21" t="s">
        <v>60</v>
      </c>
      <c r="C9" s="28" t="s">
        <v>61</v>
      </c>
      <c r="D9" s="29" t="s">
        <v>93</v>
      </c>
      <c r="E9" s="40" t="s">
        <v>104</v>
      </c>
      <c r="F9" s="22">
        <v>157.4</v>
      </c>
      <c r="G9" s="22">
        <v>300</v>
      </c>
      <c r="H9" s="23">
        <f>87+197.6+157.4</f>
        <v>442</v>
      </c>
      <c r="I9" s="22">
        <f>G9-H9</f>
        <v>-142</v>
      </c>
      <c r="J9" s="22" t="s">
        <v>24</v>
      </c>
      <c r="K9" s="24"/>
      <c r="L9" s="25"/>
    </row>
    <row r="10" spans="1:12" ht="15.75" x14ac:dyDescent="0.25">
      <c r="A10" s="20" t="s">
        <v>19</v>
      </c>
      <c r="B10" s="21" t="s">
        <v>188</v>
      </c>
      <c r="C10" s="28" t="s">
        <v>41</v>
      </c>
      <c r="D10" s="29" t="s">
        <v>116</v>
      </c>
      <c r="E10" s="40" t="s">
        <v>189</v>
      </c>
      <c r="F10" s="22">
        <v>16000</v>
      </c>
      <c r="G10" s="22">
        <v>60000</v>
      </c>
      <c r="H10" s="23">
        <f>32150+9000+16000</f>
        <v>57150</v>
      </c>
      <c r="I10" s="22">
        <f>G10-H10</f>
        <v>2850</v>
      </c>
      <c r="J10" s="22" t="s">
        <v>16</v>
      </c>
      <c r="K10" s="24"/>
      <c r="L10" s="25"/>
    </row>
    <row r="11" spans="1:12" ht="15.75" x14ac:dyDescent="0.25">
      <c r="A11" s="20" t="s">
        <v>22</v>
      </c>
      <c r="B11" s="21" t="s">
        <v>56</v>
      </c>
      <c r="C11" s="28" t="s">
        <v>85</v>
      </c>
      <c r="D11" s="29" t="s">
        <v>86</v>
      </c>
      <c r="E11" s="40" t="s">
        <v>38</v>
      </c>
      <c r="F11" s="22">
        <v>130.4</v>
      </c>
      <c r="G11" s="22">
        <v>2000</v>
      </c>
      <c r="H11" s="23">
        <f>537.5+332.2+130.4</f>
        <v>1000.1</v>
      </c>
      <c r="I11" s="22">
        <f>G11-H11</f>
        <v>999.9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123</v>
      </c>
      <c r="C12" s="28" t="s">
        <v>41</v>
      </c>
      <c r="D12" s="29" t="s">
        <v>124</v>
      </c>
      <c r="E12" s="40" t="s">
        <v>125</v>
      </c>
      <c r="F12" s="22">
        <v>1700</v>
      </c>
      <c r="G12" s="22">
        <v>8360</v>
      </c>
      <c r="H12" s="23">
        <f>6000+1700</f>
        <v>7700</v>
      </c>
      <c r="I12" s="22">
        <f t="shared" ref="I12:I21" si="2">G12-H12</f>
        <v>660</v>
      </c>
      <c r="J12" s="22" t="s">
        <v>16</v>
      </c>
      <c r="K12" s="24"/>
      <c r="L12" s="25"/>
    </row>
    <row r="13" spans="1:12" ht="15.75" x14ac:dyDescent="0.25">
      <c r="A13" s="20" t="s">
        <v>44</v>
      </c>
      <c r="B13" s="21" t="s">
        <v>176</v>
      </c>
      <c r="C13" s="28" t="s">
        <v>15</v>
      </c>
      <c r="D13" s="29" t="s">
        <v>47</v>
      </c>
      <c r="E13" s="40" t="s">
        <v>45</v>
      </c>
      <c r="F13" s="22">
        <v>66000</v>
      </c>
      <c r="G13" s="22">
        <v>500000</v>
      </c>
      <c r="H13" s="23">
        <v>624000</v>
      </c>
      <c r="I13" s="22">
        <f t="shared" si="2"/>
        <v>-124000</v>
      </c>
      <c r="J13" s="22" t="s">
        <v>24</v>
      </c>
      <c r="K13" s="24"/>
      <c r="L13" s="25"/>
    </row>
    <row r="14" spans="1:12" ht="15.75" x14ac:dyDescent="0.25">
      <c r="A14" s="20" t="s">
        <v>26</v>
      </c>
      <c r="B14" s="21" t="s">
        <v>76</v>
      </c>
      <c r="C14" s="28" t="s">
        <v>137</v>
      </c>
      <c r="D14" s="29" t="s">
        <v>57</v>
      </c>
      <c r="E14" s="40" t="s">
        <v>46</v>
      </c>
      <c r="F14" s="22">
        <v>9</v>
      </c>
      <c r="G14" s="22">
        <v>100</v>
      </c>
      <c r="H14" s="23">
        <v>9</v>
      </c>
      <c r="I14" s="22">
        <f t="shared" si="2"/>
        <v>91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78</v>
      </c>
      <c r="C15" s="28" t="s">
        <v>15</v>
      </c>
      <c r="D15" s="29" t="s">
        <v>73</v>
      </c>
      <c r="E15" s="40" t="s">
        <v>74</v>
      </c>
      <c r="F15" s="22">
        <v>21950</v>
      </c>
      <c r="G15" s="22">
        <v>20000</v>
      </c>
      <c r="H15" s="23">
        <v>21950</v>
      </c>
      <c r="I15" s="22">
        <f t="shared" si="2"/>
        <v>-1950</v>
      </c>
      <c r="J15" s="22" t="s">
        <v>24</v>
      </c>
      <c r="K15" s="24"/>
      <c r="L15" s="25"/>
    </row>
    <row r="16" spans="1:12" ht="15.75" x14ac:dyDescent="0.25">
      <c r="A16" s="20" t="s">
        <v>14</v>
      </c>
      <c r="B16" s="21" t="s">
        <v>94</v>
      </c>
      <c r="C16" s="28" t="s">
        <v>95</v>
      </c>
      <c r="D16" s="29" t="s">
        <v>77</v>
      </c>
      <c r="E16" s="40" t="s">
        <v>96</v>
      </c>
      <c r="F16" s="22">
        <v>7000</v>
      </c>
      <c r="G16" s="22">
        <v>200000</v>
      </c>
      <c r="H16" s="23">
        <f>8000+15000+12000+12000+7000</f>
        <v>54000</v>
      </c>
      <c r="I16" s="22">
        <f t="shared" si="2"/>
        <v>146000</v>
      </c>
      <c r="J16" s="22" t="s">
        <v>16</v>
      </c>
      <c r="K16" s="24"/>
      <c r="L16" s="25"/>
    </row>
    <row r="17" spans="1:12" ht="15.75" x14ac:dyDescent="0.25">
      <c r="A17" s="20" t="s">
        <v>30</v>
      </c>
      <c r="B17" s="21" t="s">
        <v>136</v>
      </c>
      <c r="C17" s="28" t="s">
        <v>36</v>
      </c>
      <c r="D17" s="29" t="s">
        <v>37</v>
      </c>
      <c r="E17" s="40" t="s">
        <v>80</v>
      </c>
      <c r="F17" s="22">
        <v>16000</v>
      </c>
      <c r="G17" s="22">
        <v>24000</v>
      </c>
      <c r="H17" s="23">
        <v>16000</v>
      </c>
      <c r="I17" s="22">
        <f>G17-H17</f>
        <v>8000</v>
      </c>
      <c r="J17" s="22" t="s">
        <v>16</v>
      </c>
      <c r="K17" s="24"/>
      <c r="L17" s="25"/>
    </row>
    <row r="18" spans="1:12" ht="15.75" x14ac:dyDescent="0.25">
      <c r="A18" s="20" t="s">
        <v>20</v>
      </c>
      <c r="B18" s="21" t="s">
        <v>134</v>
      </c>
      <c r="C18" s="28" t="s">
        <v>75</v>
      </c>
      <c r="D18" s="29" t="s">
        <v>18</v>
      </c>
      <c r="E18" s="40" t="s">
        <v>135</v>
      </c>
      <c r="F18" s="22">
        <v>1500</v>
      </c>
      <c r="G18" s="22">
        <v>125000</v>
      </c>
      <c r="H18" s="23">
        <v>1500</v>
      </c>
      <c r="I18" s="22">
        <f t="shared" si="2"/>
        <v>123500</v>
      </c>
      <c r="J18" s="22" t="s">
        <v>16</v>
      </c>
      <c r="K18" s="24"/>
      <c r="L18" s="25"/>
    </row>
    <row r="19" spans="1:12" ht="15.75" x14ac:dyDescent="0.25">
      <c r="A19" s="20" t="s">
        <v>20</v>
      </c>
      <c r="B19" s="21" t="s">
        <v>126</v>
      </c>
      <c r="C19" s="28" t="s">
        <v>34</v>
      </c>
      <c r="D19" s="29" t="s">
        <v>18</v>
      </c>
      <c r="E19" s="40" t="s">
        <v>127</v>
      </c>
      <c r="F19" s="22">
        <v>5000</v>
      </c>
      <c r="G19" s="22">
        <v>50000</v>
      </c>
      <c r="H19" s="23">
        <v>5000</v>
      </c>
      <c r="I19" s="22">
        <f t="shared" si="2"/>
        <v>45000</v>
      </c>
      <c r="J19" s="22" t="s">
        <v>16</v>
      </c>
      <c r="K19" s="24"/>
      <c r="L19" s="25"/>
    </row>
    <row r="20" spans="1:12" ht="15.75" x14ac:dyDescent="0.25">
      <c r="A20" s="20" t="s">
        <v>14</v>
      </c>
      <c r="B20" s="21" t="s">
        <v>133</v>
      </c>
      <c r="C20" s="28" t="s">
        <v>29</v>
      </c>
      <c r="D20" s="29" t="s">
        <v>18</v>
      </c>
      <c r="E20" s="40" t="s">
        <v>58</v>
      </c>
      <c r="F20" s="22">
        <v>15868</v>
      </c>
      <c r="G20" s="22">
        <v>15000</v>
      </c>
      <c r="H20" s="23">
        <v>15868</v>
      </c>
      <c r="I20" s="22">
        <f t="shared" si="2"/>
        <v>-868</v>
      </c>
      <c r="J20" s="22" t="s">
        <v>24</v>
      </c>
      <c r="K20" s="24"/>
      <c r="L20" s="25"/>
    </row>
    <row r="21" spans="1:12" ht="15.75" x14ac:dyDescent="0.25">
      <c r="A21" s="20" t="s">
        <v>17</v>
      </c>
      <c r="B21" s="21" t="s">
        <v>128</v>
      </c>
      <c r="C21" s="28" t="s">
        <v>32</v>
      </c>
      <c r="D21" s="29" t="s">
        <v>18</v>
      </c>
      <c r="E21" s="40" t="s">
        <v>33</v>
      </c>
      <c r="F21" s="22">
        <v>1750</v>
      </c>
      <c r="G21" s="22">
        <v>20000</v>
      </c>
      <c r="H21" s="23">
        <v>1750</v>
      </c>
      <c r="I21" s="22">
        <f t="shared" si="2"/>
        <v>18250</v>
      </c>
      <c r="J21" s="22" t="s">
        <v>16</v>
      </c>
      <c r="K21" s="24"/>
      <c r="L21" s="25"/>
    </row>
    <row r="22" spans="1:12" ht="16.5" thickBot="1" x14ac:dyDescent="0.3">
      <c r="A22" s="30"/>
      <c r="B22" s="31"/>
      <c r="C22" s="32"/>
      <c r="D22" s="33"/>
      <c r="E22" s="41"/>
      <c r="F22" s="34"/>
      <c r="G22" s="34"/>
      <c r="H22" s="35"/>
      <c r="I22" s="34"/>
      <c r="J22" s="34" t="s">
        <v>64</v>
      </c>
      <c r="K22" s="36"/>
      <c r="L22" s="37"/>
    </row>
    <row r="31" spans="1:12" x14ac:dyDescent="0.25">
      <c r="D31">
        <f>D34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27"/>
  <sheetViews>
    <sheetView workbookViewId="0">
      <pane xSplit="3" topLeftCell="E1" activePane="topRight" state="frozen"/>
      <selection pane="topRight" activeCell="I5" sqref="I5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129</v>
      </c>
      <c r="C4" s="26" t="s">
        <v>130</v>
      </c>
      <c r="D4" s="27" t="s">
        <v>131</v>
      </c>
      <c r="E4" s="39" t="s">
        <v>132</v>
      </c>
      <c r="F4" s="16">
        <v>14250</v>
      </c>
      <c r="G4" s="16">
        <v>50000</v>
      </c>
      <c r="H4" s="17">
        <f>27000+14250</f>
        <v>41250</v>
      </c>
      <c r="I4" s="16">
        <f>G4-H4</f>
        <v>8750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97</v>
      </c>
      <c r="C5" s="28" t="s">
        <v>98</v>
      </c>
      <c r="D5" s="29" t="s">
        <v>18</v>
      </c>
      <c r="E5" s="40" t="s">
        <v>99</v>
      </c>
      <c r="F5" s="22">
        <v>2950</v>
      </c>
      <c r="G5" s="22">
        <v>47500</v>
      </c>
      <c r="H5" s="23">
        <f>3050+4250+6200+3250+2950</f>
        <v>19700</v>
      </c>
      <c r="I5" s="22">
        <f t="shared" ref="I5" si="0">G5-H5</f>
        <v>27800</v>
      </c>
      <c r="J5" s="22" t="s">
        <v>16</v>
      </c>
      <c r="K5" s="24"/>
      <c r="L5" s="25"/>
    </row>
    <row r="6" spans="1:12" ht="15.75" x14ac:dyDescent="0.25">
      <c r="A6" s="20" t="s">
        <v>28</v>
      </c>
      <c r="B6" s="21" t="s">
        <v>111</v>
      </c>
      <c r="C6" s="28" t="s">
        <v>15</v>
      </c>
      <c r="D6" s="29" t="s">
        <v>18</v>
      </c>
      <c r="E6" s="40" t="s">
        <v>112</v>
      </c>
      <c r="F6" s="22">
        <v>22975</v>
      </c>
      <c r="G6" s="22">
        <v>75200</v>
      </c>
      <c r="H6" s="23">
        <f>18500+28000+22975</f>
        <v>69475</v>
      </c>
      <c r="I6" s="22">
        <f>G6-H6</f>
        <v>5725</v>
      </c>
      <c r="J6" s="22" t="s">
        <v>16</v>
      </c>
      <c r="K6" s="24"/>
      <c r="L6" s="25"/>
    </row>
    <row r="7" spans="1:12" ht="15.75" x14ac:dyDescent="0.25">
      <c r="A7" s="20" t="s">
        <v>30</v>
      </c>
      <c r="B7" s="21" t="s">
        <v>138</v>
      </c>
      <c r="C7" s="28" t="s">
        <v>70</v>
      </c>
      <c r="D7" s="29" t="s">
        <v>71</v>
      </c>
      <c r="E7" s="40" t="s">
        <v>139</v>
      </c>
      <c r="F7" s="22">
        <v>4000</v>
      </c>
      <c r="G7" s="22">
        <v>160000</v>
      </c>
      <c r="H7" s="23">
        <v>4000</v>
      </c>
      <c r="I7" s="22">
        <f>G7-H7</f>
        <v>156000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140</v>
      </c>
      <c r="C8" s="28" t="s">
        <v>141</v>
      </c>
      <c r="D8" s="29" t="s">
        <v>27</v>
      </c>
      <c r="E8" s="40" t="s">
        <v>142</v>
      </c>
      <c r="F8" s="22">
        <v>24000</v>
      </c>
      <c r="G8" s="22">
        <v>200000</v>
      </c>
      <c r="H8" s="23">
        <v>24000</v>
      </c>
      <c r="I8" s="22">
        <f t="shared" ref="I8" si="1">G8-H8</f>
        <v>176000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143</v>
      </c>
      <c r="C9" s="28" t="s">
        <v>107</v>
      </c>
      <c r="D9" s="29" t="s">
        <v>42</v>
      </c>
      <c r="E9" s="40" t="s">
        <v>144</v>
      </c>
      <c r="F9" s="22">
        <f>2890+1500</f>
        <v>4390</v>
      </c>
      <c r="G9" s="22">
        <v>9000</v>
      </c>
      <c r="H9" s="23">
        <v>4390</v>
      </c>
      <c r="I9" s="22">
        <f>G9-H9</f>
        <v>4610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145</v>
      </c>
      <c r="C10" s="28" t="s">
        <v>83</v>
      </c>
      <c r="D10" s="29" t="s">
        <v>146</v>
      </c>
      <c r="E10" s="40" t="s">
        <v>147</v>
      </c>
      <c r="F10" s="22">
        <v>12500</v>
      </c>
      <c r="G10" s="22">
        <v>30000</v>
      </c>
      <c r="H10" s="23">
        <v>12500</v>
      </c>
      <c r="I10" s="22">
        <f t="shared" ref="I10:I17" si="2">G10-H10</f>
        <v>17500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143</v>
      </c>
      <c r="C11" s="28" t="s">
        <v>66</v>
      </c>
      <c r="D11" s="29" t="s">
        <v>42</v>
      </c>
      <c r="E11" s="40" t="s">
        <v>148</v>
      </c>
      <c r="F11" s="22">
        <v>15000</v>
      </c>
      <c r="G11" s="22">
        <v>30000</v>
      </c>
      <c r="H11" s="23">
        <v>15000</v>
      </c>
      <c r="I11" s="22">
        <f>G11-H11</f>
        <v>15000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56</v>
      </c>
      <c r="C12" s="28" t="s">
        <v>85</v>
      </c>
      <c r="D12" s="29" t="s">
        <v>86</v>
      </c>
      <c r="E12" s="40" t="s">
        <v>38</v>
      </c>
      <c r="F12" s="22">
        <v>141.30000000000001</v>
      </c>
      <c r="G12" s="22">
        <v>2000</v>
      </c>
      <c r="H12" s="23">
        <v>1514.1</v>
      </c>
      <c r="I12" s="22">
        <f>G12-H12</f>
        <v>485.90000000000009</v>
      </c>
      <c r="J12" s="22" t="s">
        <v>16</v>
      </c>
      <c r="K12" s="24"/>
      <c r="L12" s="25"/>
    </row>
    <row r="13" spans="1:12" ht="15.75" x14ac:dyDescent="0.25">
      <c r="A13" s="20" t="s">
        <v>44</v>
      </c>
      <c r="B13" s="21" t="s">
        <v>176</v>
      </c>
      <c r="C13" s="28" t="s">
        <v>15</v>
      </c>
      <c r="D13" s="29" t="s">
        <v>47</v>
      </c>
      <c r="E13" s="40" t="s">
        <v>45</v>
      </c>
      <c r="F13" s="22">
        <v>45000</v>
      </c>
      <c r="G13" s="22">
        <v>500000</v>
      </c>
      <c r="H13" s="23">
        <f>624000+45000</f>
        <v>669000</v>
      </c>
      <c r="I13" s="22">
        <f t="shared" si="2"/>
        <v>-169000</v>
      </c>
      <c r="J13" s="22" t="s">
        <v>24</v>
      </c>
      <c r="K13" s="24"/>
      <c r="L13" s="25"/>
    </row>
    <row r="14" spans="1:12" ht="15.75" x14ac:dyDescent="0.25">
      <c r="A14" s="20" t="s">
        <v>26</v>
      </c>
      <c r="B14" s="21" t="s">
        <v>76</v>
      </c>
      <c r="C14" s="28" t="s">
        <v>137</v>
      </c>
      <c r="D14" s="29" t="s">
        <v>57</v>
      </c>
      <c r="E14" s="40" t="s">
        <v>46</v>
      </c>
      <c r="F14" s="22">
        <v>15</v>
      </c>
      <c r="G14" s="22">
        <v>100</v>
      </c>
      <c r="H14" s="23">
        <f>9+15</f>
        <v>24</v>
      </c>
      <c r="I14" s="22">
        <f t="shared" si="2"/>
        <v>76</v>
      </c>
      <c r="J14" s="22" t="s">
        <v>16</v>
      </c>
      <c r="K14" s="24"/>
      <c r="L14" s="25"/>
    </row>
    <row r="15" spans="1:12" ht="15.75" x14ac:dyDescent="0.25">
      <c r="A15" s="20" t="s">
        <v>30</v>
      </c>
      <c r="B15" s="21" t="s">
        <v>136</v>
      </c>
      <c r="C15" s="28" t="s">
        <v>36</v>
      </c>
      <c r="D15" s="29" t="s">
        <v>37</v>
      </c>
      <c r="E15" s="40" t="s">
        <v>80</v>
      </c>
      <c r="F15" s="22">
        <v>18100</v>
      </c>
      <c r="G15" s="22">
        <v>24000</v>
      </c>
      <c r="H15" s="23">
        <f>16000+18100</f>
        <v>34100</v>
      </c>
      <c r="I15" s="22">
        <f>G15-H15</f>
        <v>-10100</v>
      </c>
      <c r="J15" s="22" t="s">
        <v>24</v>
      </c>
      <c r="K15" s="24"/>
      <c r="L15" s="25"/>
    </row>
    <row r="16" spans="1:12" ht="15.75" x14ac:dyDescent="0.25">
      <c r="A16" s="20" t="s">
        <v>20</v>
      </c>
      <c r="B16" s="21" t="s">
        <v>134</v>
      </c>
      <c r="C16" s="28" t="s">
        <v>75</v>
      </c>
      <c r="D16" s="29" t="s">
        <v>18</v>
      </c>
      <c r="E16" s="40" t="s">
        <v>135</v>
      </c>
      <c r="F16" s="22">
        <f>11000+10000</f>
        <v>21000</v>
      </c>
      <c r="G16" s="22">
        <v>125000</v>
      </c>
      <c r="H16" s="23">
        <f>1500+11000+10000</f>
        <v>22500</v>
      </c>
      <c r="I16" s="22">
        <f t="shared" si="2"/>
        <v>102500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128</v>
      </c>
      <c r="C17" s="28" t="s">
        <v>32</v>
      </c>
      <c r="D17" s="29" t="s">
        <v>18</v>
      </c>
      <c r="E17" s="40" t="s">
        <v>33</v>
      </c>
      <c r="F17" s="22">
        <v>2990</v>
      </c>
      <c r="G17" s="22">
        <v>20000</v>
      </c>
      <c r="H17" s="23">
        <f>1750+2990</f>
        <v>4740</v>
      </c>
      <c r="I17" s="22">
        <f t="shared" si="2"/>
        <v>15260</v>
      </c>
      <c r="J17" s="22" t="s">
        <v>16</v>
      </c>
      <c r="K17" s="24"/>
      <c r="L17" s="25"/>
    </row>
    <row r="18" spans="1:12" ht="16.5" thickBot="1" x14ac:dyDescent="0.3">
      <c r="A18" s="30"/>
      <c r="B18" s="31"/>
      <c r="C18" s="32"/>
      <c r="D18" s="33"/>
      <c r="E18" s="41"/>
      <c r="F18" s="34"/>
      <c r="G18" s="34"/>
      <c r="H18" s="35"/>
      <c r="I18" s="34"/>
      <c r="J18" s="34" t="s">
        <v>64</v>
      </c>
      <c r="K18" s="36"/>
      <c r="L18" s="37"/>
    </row>
    <row r="27" spans="1:12" x14ac:dyDescent="0.25">
      <c r="D27">
        <f>D30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20"/>
  <sheetViews>
    <sheetView workbookViewId="0">
      <pane xSplit="3" topLeftCell="E1" activePane="topRight" state="frozen"/>
      <selection pane="topRight" activeCell="H9" sqref="H9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149</v>
      </c>
      <c r="C4" s="26" t="s">
        <v>62</v>
      </c>
      <c r="D4" s="27" t="s">
        <v>54</v>
      </c>
      <c r="E4" s="39" t="s">
        <v>59</v>
      </c>
      <c r="F4" s="16">
        <f>19000+48000</f>
        <v>67000</v>
      </c>
      <c r="G4" s="16">
        <v>500000</v>
      </c>
      <c r="H4" s="17">
        <f>67000</f>
        <v>67000</v>
      </c>
      <c r="I4" s="16">
        <f t="shared" ref="I4:I5" si="0">G4-H4</f>
        <v>433000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97</v>
      </c>
      <c r="C5" s="28" t="s">
        <v>98</v>
      </c>
      <c r="D5" s="29" t="s">
        <v>18</v>
      </c>
      <c r="E5" s="40" t="s">
        <v>99</v>
      </c>
      <c r="F5" s="22">
        <v>10450</v>
      </c>
      <c r="G5" s="22">
        <v>47500</v>
      </c>
      <c r="H5" s="23">
        <f>3050+4250+6200+3250+2950+10450</f>
        <v>30150</v>
      </c>
      <c r="I5" s="22">
        <f t="shared" si="0"/>
        <v>17350</v>
      </c>
      <c r="J5" s="22" t="s">
        <v>16</v>
      </c>
      <c r="K5" s="24"/>
      <c r="L5" s="25"/>
    </row>
    <row r="6" spans="1:12" ht="15.75" x14ac:dyDescent="0.25">
      <c r="A6" s="20" t="s">
        <v>51</v>
      </c>
      <c r="B6" s="21" t="s">
        <v>150</v>
      </c>
      <c r="C6" s="28" t="s">
        <v>151</v>
      </c>
      <c r="D6" s="29" t="s">
        <v>91</v>
      </c>
      <c r="E6" s="40" t="s">
        <v>81</v>
      </c>
      <c r="F6" s="22">
        <v>700</v>
      </c>
      <c r="G6" s="22">
        <v>700</v>
      </c>
      <c r="H6" s="23">
        <v>700</v>
      </c>
      <c r="I6" s="22">
        <f>G6-H6</f>
        <v>0</v>
      </c>
      <c r="J6" s="22" t="s">
        <v>23</v>
      </c>
      <c r="K6" s="24"/>
      <c r="L6" s="25"/>
    </row>
    <row r="7" spans="1:12" ht="15.75" x14ac:dyDescent="0.25">
      <c r="A7" s="20" t="s">
        <v>152</v>
      </c>
      <c r="B7" s="21" t="s">
        <v>153</v>
      </c>
      <c r="C7" s="28" t="s">
        <v>154</v>
      </c>
      <c r="D7" s="29" t="s">
        <v>35</v>
      </c>
      <c r="E7" s="40" t="s">
        <v>46</v>
      </c>
      <c r="F7" s="22">
        <v>731.75</v>
      </c>
      <c r="G7" s="22">
        <v>1000</v>
      </c>
      <c r="H7" s="23">
        <v>731.75</v>
      </c>
      <c r="I7" s="22">
        <f>G7-H7</f>
        <v>268.25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140</v>
      </c>
      <c r="C8" s="28" t="s">
        <v>141</v>
      </c>
      <c r="D8" s="29" t="s">
        <v>27</v>
      </c>
      <c r="E8" s="40" t="s">
        <v>142</v>
      </c>
      <c r="F8" s="22">
        <v>75000</v>
      </c>
      <c r="G8" s="22">
        <v>200000</v>
      </c>
      <c r="H8" s="23">
        <f>24000+75000</f>
        <v>99000</v>
      </c>
      <c r="I8" s="22">
        <f t="shared" ref="I8" si="1">G8-H8</f>
        <v>101000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145</v>
      </c>
      <c r="C9" s="28" t="s">
        <v>83</v>
      </c>
      <c r="D9" s="29" t="s">
        <v>146</v>
      </c>
      <c r="E9" s="40" t="s">
        <v>147</v>
      </c>
      <c r="F9" s="22">
        <v>2000</v>
      </c>
      <c r="G9" s="22">
        <v>30000</v>
      </c>
      <c r="H9" s="23">
        <f>12500+2000</f>
        <v>14500</v>
      </c>
      <c r="I9" s="22">
        <f t="shared" ref="I9" si="2">G9-H9</f>
        <v>15500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143</v>
      </c>
      <c r="C10" s="28" t="s">
        <v>66</v>
      </c>
      <c r="D10" s="29" t="s">
        <v>42</v>
      </c>
      <c r="E10" s="40" t="s">
        <v>148</v>
      </c>
      <c r="F10" s="22">
        <v>15130</v>
      </c>
      <c r="G10" s="22">
        <v>30000</v>
      </c>
      <c r="H10" s="23">
        <f>15000+15130</f>
        <v>30130</v>
      </c>
      <c r="I10" s="22">
        <f>G10-H10</f>
        <v>-130</v>
      </c>
      <c r="J10" s="22" t="s">
        <v>24</v>
      </c>
      <c r="K10" s="24"/>
      <c r="L10" s="25"/>
    </row>
    <row r="11" spans="1:12" ht="16.5" thickBot="1" x14ac:dyDescent="0.3">
      <c r="A11" s="30"/>
      <c r="B11" s="31"/>
      <c r="C11" s="32"/>
      <c r="D11" s="33"/>
      <c r="E11" s="41"/>
      <c r="F11" s="34"/>
      <c r="G11" s="34"/>
      <c r="H11" s="35"/>
      <c r="I11" s="34"/>
      <c r="J11" s="34" t="s">
        <v>64</v>
      </c>
      <c r="K11" s="36"/>
      <c r="L11" s="37"/>
    </row>
    <row r="20" spans="4:4" x14ac:dyDescent="0.25">
      <c r="D20">
        <f>D23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28"/>
  <sheetViews>
    <sheetView workbookViewId="0">
      <pane xSplit="3" topLeftCell="E1" activePane="topRight" state="frozen"/>
      <selection pane="topRight" activeCell="A5" sqref="A5:XFD5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149</v>
      </c>
      <c r="C4" s="26" t="s">
        <v>62</v>
      </c>
      <c r="D4" s="27" t="s">
        <v>54</v>
      </c>
      <c r="E4" s="39" t="s">
        <v>59</v>
      </c>
      <c r="F4" s="16">
        <f>30000+26000</f>
        <v>56000</v>
      </c>
      <c r="G4" s="16">
        <v>500000</v>
      </c>
      <c r="H4" s="17">
        <f>67000+56000</f>
        <v>123000</v>
      </c>
      <c r="I4" s="16">
        <f t="shared" ref="I4:I7" si="0">G4-H4</f>
        <v>377000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97</v>
      </c>
      <c r="C5" s="28" t="s">
        <v>98</v>
      </c>
      <c r="D5" s="29" t="s">
        <v>18</v>
      </c>
      <c r="E5" s="40" t="s">
        <v>99</v>
      </c>
      <c r="F5" s="22">
        <v>1400</v>
      </c>
      <c r="G5" s="22">
        <v>47500</v>
      </c>
      <c r="H5" s="23">
        <f>3050+4250+6200+3250+2950+10450+1400</f>
        <v>31550</v>
      </c>
      <c r="I5" s="22">
        <f t="shared" si="0"/>
        <v>15950</v>
      </c>
      <c r="J5" s="22" t="s">
        <v>16</v>
      </c>
      <c r="K5" s="24"/>
      <c r="L5" s="25"/>
    </row>
    <row r="6" spans="1:12" ht="15.75" x14ac:dyDescent="0.25">
      <c r="A6" s="20" t="s">
        <v>17</v>
      </c>
      <c r="B6" s="21" t="s">
        <v>128</v>
      </c>
      <c r="C6" s="28" t="s">
        <v>32</v>
      </c>
      <c r="D6" s="29" t="s">
        <v>18</v>
      </c>
      <c r="E6" s="40" t="s">
        <v>33</v>
      </c>
      <c r="F6" s="22">
        <v>3000</v>
      </c>
      <c r="G6" s="22">
        <v>20000</v>
      </c>
      <c r="H6" s="23">
        <f>1750+2990+3000+10</f>
        <v>7750</v>
      </c>
      <c r="I6" s="22">
        <f t="shared" si="0"/>
        <v>12250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94</v>
      </c>
      <c r="C7" s="28" t="s">
        <v>95</v>
      </c>
      <c r="D7" s="29" t="s">
        <v>77</v>
      </c>
      <c r="E7" s="40" t="s">
        <v>96</v>
      </c>
      <c r="F7" s="22">
        <v>7000</v>
      </c>
      <c r="G7" s="22">
        <v>200000</v>
      </c>
      <c r="H7" s="23">
        <f>8000+15000+12000+12000+7000+7000</f>
        <v>61000</v>
      </c>
      <c r="I7" s="22">
        <f t="shared" si="0"/>
        <v>139000</v>
      </c>
      <c r="J7" s="22" t="s">
        <v>16</v>
      </c>
      <c r="K7" s="24"/>
      <c r="L7" s="25"/>
    </row>
    <row r="8" spans="1:12" ht="15.75" x14ac:dyDescent="0.25">
      <c r="A8" s="20" t="s">
        <v>20</v>
      </c>
      <c r="B8" s="21" t="s">
        <v>157</v>
      </c>
      <c r="C8" s="28" t="s">
        <v>107</v>
      </c>
      <c r="D8" s="29" t="s">
        <v>42</v>
      </c>
      <c r="E8" s="40" t="s">
        <v>144</v>
      </c>
      <c r="F8" s="22">
        <v>1500</v>
      </c>
      <c r="G8" s="22">
        <v>9000</v>
      </c>
      <c r="H8" s="23">
        <v>5090</v>
      </c>
      <c r="I8" s="22">
        <f>G8-H8</f>
        <v>3910</v>
      </c>
      <c r="J8" s="22" t="s">
        <v>16</v>
      </c>
      <c r="K8" s="24"/>
      <c r="L8" s="25"/>
    </row>
    <row r="9" spans="1:12" ht="15.75" x14ac:dyDescent="0.25">
      <c r="A9" s="20" t="s">
        <v>30</v>
      </c>
      <c r="B9" s="21" t="s">
        <v>138</v>
      </c>
      <c r="C9" s="28" t="s">
        <v>70</v>
      </c>
      <c r="D9" s="29" t="s">
        <v>71</v>
      </c>
      <c r="E9" s="40" t="s">
        <v>139</v>
      </c>
      <c r="F9" s="22">
        <v>3000</v>
      </c>
      <c r="G9" s="22">
        <v>160000</v>
      </c>
      <c r="H9" s="23">
        <f>4000+3000</f>
        <v>7000</v>
      </c>
      <c r="I9" s="22">
        <f>G9-H9</f>
        <v>153000</v>
      </c>
      <c r="J9" s="22" t="s">
        <v>16</v>
      </c>
      <c r="K9" s="24"/>
      <c r="L9" s="25"/>
    </row>
    <row r="10" spans="1:12" ht="15.75" x14ac:dyDescent="0.25">
      <c r="A10" s="20" t="s">
        <v>44</v>
      </c>
      <c r="B10" s="21" t="s">
        <v>158</v>
      </c>
      <c r="C10" s="28" t="s">
        <v>159</v>
      </c>
      <c r="D10" s="29" t="s">
        <v>47</v>
      </c>
      <c r="E10" s="40" t="s">
        <v>50</v>
      </c>
      <c r="F10" s="22">
        <v>2000</v>
      </c>
      <c r="G10" s="22">
        <v>50000</v>
      </c>
      <c r="H10" s="23">
        <v>2000</v>
      </c>
      <c r="I10" s="22">
        <f>G10-H10</f>
        <v>48000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134</v>
      </c>
      <c r="C11" s="28" t="s">
        <v>75</v>
      </c>
      <c r="D11" s="29" t="s">
        <v>18</v>
      </c>
      <c r="E11" s="40" t="s">
        <v>135</v>
      </c>
      <c r="F11" s="22">
        <v>9500</v>
      </c>
      <c r="G11" s="22">
        <v>125000</v>
      </c>
      <c r="H11" s="23">
        <f>1500+11000+10000+9500</f>
        <v>32000</v>
      </c>
      <c r="I11" s="22">
        <f t="shared" ref="I11:I12" si="1">G11-H11</f>
        <v>93000</v>
      </c>
      <c r="J11" s="22" t="s">
        <v>16</v>
      </c>
      <c r="K11" s="24"/>
      <c r="L11" s="25"/>
    </row>
    <row r="12" spans="1:12" ht="15.75" x14ac:dyDescent="0.25">
      <c r="A12" s="20" t="s">
        <v>26</v>
      </c>
      <c r="B12" s="21" t="s">
        <v>76</v>
      </c>
      <c r="C12" s="28" t="s">
        <v>137</v>
      </c>
      <c r="D12" s="29" t="s">
        <v>57</v>
      </c>
      <c r="E12" s="40" t="s">
        <v>46</v>
      </c>
      <c r="F12" s="22">
        <v>10</v>
      </c>
      <c r="G12" s="22">
        <v>100</v>
      </c>
      <c r="H12" s="23">
        <f>9+15+10</f>
        <v>34</v>
      </c>
      <c r="I12" s="22">
        <f t="shared" si="1"/>
        <v>66</v>
      </c>
      <c r="J12" s="22" t="s">
        <v>16</v>
      </c>
      <c r="K12" s="24"/>
      <c r="L12" s="25"/>
    </row>
    <row r="13" spans="1:12" ht="15.75" x14ac:dyDescent="0.25">
      <c r="A13" s="20" t="s">
        <v>28</v>
      </c>
      <c r="B13" s="21" t="s">
        <v>160</v>
      </c>
      <c r="C13" s="28" t="s">
        <v>159</v>
      </c>
      <c r="D13" s="29" t="s">
        <v>52</v>
      </c>
      <c r="E13" s="40" t="s">
        <v>39</v>
      </c>
      <c r="F13" s="22">
        <v>14000</v>
      </c>
      <c r="G13" s="22">
        <v>100000</v>
      </c>
      <c r="H13" s="23">
        <v>14000</v>
      </c>
      <c r="I13" s="22">
        <f>G13-H13</f>
        <v>86000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161</v>
      </c>
      <c r="C14" s="28" t="s">
        <v>159</v>
      </c>
      <c r="D14" s="29" t="s">
        <v>27</v>
      </c>
      <c r="E14" s="40" t="s">
        <v>162</v>
      </c>
      <c r="F14" s="22">
        <v>30000</v>
      </c>
      <c r="G14" s="22">
        <v>200000</v>
      </c>
      <c r="H14" s="23">
        <v>30000</v>
      </c>
      <c r="I14" s="22">
        <f>G14-H14</f>
        <v>170000</v>
      </c>
      <c r="J14" s="22" t="s">
        <v>16</v>
      </c>
      <c r="K14" s="24"/>
      <c r="L14" s="25"/>
    </row>
    <row r="15" spans="1:12" ht="15.75" x14ac:dyDescent="0.25">
      <c r="A15" s="20" t="s">
        <v>82</v>
      </c>
      <c r="B15" s="21" t="s">
        <v>163</v>
      </c>
      <c r="C15" s="28" t="s">
        <v>159</v>
      </c>
      <c r="D15" s="29" t="s">
        <v>164</v>
      </c>
      <c r="E15" s="40" t="s">
        <v>81</v>
      </c>
      <c r="F15" s="22">
        <v>330</v>
      </c>
      <c r="G15" s="22">
        <v>2000</v>
      </c>
      <c r="H15" s="23">
        <v>540</v>
      </c>
      <c r="I15" s="22">
        <f>G15-H15</f>
        <v>1460</v>
      </c>
      <c r="J15" s="22" t="s">
        <v>16</v>
      </c>
      <c r="K15" s="24"/>
      <c r="L15" s="25"/>
    </row>
    <row r="16" spans="1:12" ht="15.75" x14ac:dyDescent="0.25">
      <c r="A16" s="20" t="s">
        <v>44</v>
      </c>
      <c r="B16" s="21" t="s">
        <v>176</v>
      </c>
      <c r="C16" s="28" t="s">
        <v>159</v>
      </c>
      <c r="D16" s="29" t="s">
        <v>47</v>
      </c>
      <c r="E16" s="40" t="s">
        <v>45</v>
      </c>
      <c r="F16" s="22">
        <v>17000</v>
      </c>
      <c r="G16" s="22">
        <v>500000</v>
      </c>
      <c r="H16" s="23">
        <v>17000</v>
      </c>
      <c r="I16" s="22">
        <f t="shared" ref="I16:I17" si="2">G16-H16</f>
        <v>483000</v>
      </c>
      <c r="J16" s="22" t="s">
        <v>16</v>
      </c>
      <c r="K16" s="24"/>
      <c r="L16" s="25"/>
    </row>
    <row r="17" spans="1:12" ht="15.75" x14ac:dyDescent="0.25">
      <c r="A17" s="20" t="s">
        <v>19</v>
      </c>
      <c r="B17" s="21" t="s">
        <v>145</v>
      </c>
      <c r="C17" s="28" t="s">
        <v>83</v>
      </c>
      <c r="D17" s="29" t="s">
        <v>146</v>
      </c>
      <c r="E17" s="40" t="s">
        <v>147</v>
      </c>
      <c r="F17" s="22">
        <v>11000</v>
      </c>
      <c r="G17" s="22">
        <v>30000</v>
      </c>
      <c r="H17" s="23">
        <f>12500+2000+11000</f>
        <v>25500</v>
      </c>
      <c r="I17" s="22">
        <f t="shared" si="2"/>
        <v>4500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155</v>
      </c>
      <c r="C18" s="28" t="s">
        <v>79</v>
      </c>
      <c r="D18" s="29" t="s">
        <v>18</v>
      </c>
      <c r="E18" s="40" t="s">
        <v>156</v>
      </c>
      <c r="F18" s="22">
        <v>24000</v>
      </c>
      <c r="G18" s="22">
        <v>33000</v>
      </c>
      <c r="H18" s="23">
        <v>24000</v>
      </c>
      <c r="I18" s="22">
        <f>G18-H18</f>
        <v>9000</v>
      </c>
      <c r="J18" s="22" t="s">
        <v>16</v>
      </c>
      <c r="K18" s="24"/>
      <c r="L18" s="25"/>
    </row>
    <row r="19" spans="1:12" ht="16.5" thickBot="1" x14ac:dyDescent="0.3">
      <c r="A19" s="30"/>
      <c r="B19" s="31"/>
      <c r="C19" s="32"/>
      <c r="D19" s="33"/>
      <c r="E19" s="41"/>
      <c r="F19" s="34"/>
      <c r="G19" s="34"/>
      <c r="H19" s="35"/>
      <c r="I19" s="34"/>
      <c r="J19" s="34" t="s">
        <v>64</v>
      </c>
      <c r="K19" s="36"/>
      <c r="L19" s="37"/>
    </row>
    <row r="28" spans="1:12" x14ac:dyDescent="0.25">
      <c r="D28">
        <f>D31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25"/>
  <sheetViews>
    <sheetView workbookViewId="0">
      <pane xSplit="3" topLeftCell="E1" activePane="topRight" state="frozen"/>
      <selection pane="topRight" activeCell="A14" sqref="A14:XFD14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149</v>
      </c>
      <c r="C4" s="26" t="s">
        <v>62</v>
      </c>
      <c r="D4" s="27" t="s">
        <v>54</v>
      </c>
      <c r="E4" s="39" t="s">
        <v>59</v>
      </c>
      <c r="F4" s="16">
        <v>31000</v>
      </c>
      <c r="G4" s="16">
        <v>500000</v>
      </c>
      <c r="H4" s="17">
        <f>67000+56000+31000</f>
        <v>154000</v>
      </c>
      <c r="I4" s="16">
        <f t="shared" ref="I4:I7" si="0">G4-H4</f>
        <v>346000</v>
      </c>
      <c r="J4" s="16" t="s">
        <v>16</v>
      </c>
      <c r="K4" s="18"/>
      <c r="L4" s="19"/>
    </row>
    <row r="5" spans="1:12" ht="15.75" x14ac:dyDescent="0.25">
      <c r="A5" s="20" t="s">
        <v>21</v>
      </c>
      <c r="B5" s="21" t="s">
        <v>78</v>
      </c>
      <c r="C5" s="28" t="s">
        <v>159</v>
      </c>
      <c r="D5" s="29" t="s">
        <v>73</v>
      </c>
      <c r="E5" s="40" t="s">
        <v>74</v>
      </c>
      <c r="F5" s="22">
        <v>4840</v>
      </c>
      <c r="G5" s="22">
        <v>20000</v>
      </c>
      <c r="H5" s="23">
        <v>26790</v>
      </c>
      <c r="I5" s="22">
        <f t="shared" si="0"/>
        <v>-6790</v>
      </c>
      <c r="J5" s="22" t="s">
        <v>24</v>
      </c>
      <c r="K5" s="24"/>
      <c r="L5" s="25"/>
    </row>
    <row r="6" spans="1:12" ht="15.75" x14ac:dyDescent="0.25">
      <c r="A6" s="20" t="s">
        <v>17</v>
      </c>
      <c r="B6" s="21" t="s">
        <v>128</v>
      </c>
      <c r="C6" s="28" t="s">
        <v>32</v>
      </c>
      <c r="D6" s="29" t="s">
        <v>18</v>
      </c>
      <c r="E6" s="40" t="s">
        <v>33</v>
      </c>
      <c r="F6" s="22">
        <v>750</v>
      </c>
      <c r="G6" s="22">
        <v>20000</v>
      </c>
      <c r="H6" s="23">
        <f>1750+2990+3000+10+750</f>
        <v>8500</v>
      </c>
      <c r="I6" s="22">
        <f t="shared" si="0"/>
        <v>11500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94</v>
      </c>
      <c r="C7" s="28" t="s">
        <v>95</v>
      </c>
      <c r="D7" s="29" t="s">
        <v>77</v>
      </c>
      <c r="E7" s="40" t="s">
        <v>96</v>
      </c>
      <c r="F7" s="22">
        <v>10000</v>
      </c>
      <c r="G7" s="22">
        <v>200000</v>
      </c>
      <c r="H7" s="23">
        <f>8000+15000+12000+12000+7000+7000+10000</f>
        <v>71000</v>
      </c>
      <c r="I7" s="22">
        <f t="shared" si="0"/>
        <v>129000</v>
      </c>
      <c r="J7" s="22" t="s">
        <v>16</v>
      </c>
      <c r="K7" s="24"/>
      <c r="L7" s="25"/>
    </row>
    <row r="8" spans="1:12" ht="15.75" x14ac:dyDescent="0.25">
      <c r="A8" s="20" t="s">
        <v>20</v>
      </c>
      <c r="B8" s="21" t="s">
        <v>157</v>
      </c>
      <c r="C8" s="28" t="s">
        <v>107</v>
      </c>
      <c r="D8" s="29" t="s">
        <v>42</v>
      </c>
      <c r="E8" s="40" t="s">
        <v>144</v>
      </c>
      <c r="F8" s="22">
        <v>2900</v>
      </c>
      <c r="G8" s="22">
        <v>9000</v>
      </c>
      <c r="H8" s="23">
        <f>5090+2900</f>
        <v>7990</v>
      </c>
      <c r="I8" s="22">
        <f>G8-H8</f>
        <v>1010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170</v>
      </c>
      <c r="C9" s="28" t="s">
        <v>29</v>
      </c>
      <c r="D9" s="29" t="s">
        <v>18</v>
      </c>
      <c r="E9" s="40" t="s">
        <v>171</v>
      </c>
      <c r="F9" s="22">
        <v>19000</v>
      </c>
      <c r="G9" s="22">
        <v>40000</v>
      </c>
      <c r="H9" s="23">
        <v>19000</v>
      </c>
      <c r="I9" s="22">
        <f>G9-H9</f>
        <v>21000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172</v>
      </c>
      <c r="C10" s="28" t="s">
        <v>159</v>
      </c>
      <c r="D10" s="29" t="s">
        <v>65</v>
      </c>
      <c r="E10" s="40" t="s">
        <v>173</v>
      </c>
      <c r="F10" s="22">
        <v>9760</v>
      </c>
      <c r="G10" s="22">
        <v>20000</v>
      </c>
      <c r="H10" s="23">
        <v>9760</v>
      </c>
      <c r="I10" s="22">
        <f>G10-H10</f>
        <v>10240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165</v>
      </c>
      <c r="C11" s="28" t="s">
        <v>75</v>
      </c>
      <c r="D11" s="29" t="s">
        <v>18</v>
      </c>
      <c r="E11" s="40" t="s">
        <v>166</v>
      </c>
      <c r="F11" s="22">
        <f>1800+150</f>
        <v>1950</v>
      </c>
      <c r="G11" s="22">
        <v>7000</v>
      </c>
      <c r="H11" s="23">
        <v>1950</v>
      </c>
      <c r="I11" s="22">
        <f t="shared" ref="I11" si="1">G11-H11</f>
        <v>5050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169</v>
      </c>
      <c r="C12" s="28" t="s">
        <v>79</v>
      </c>
      <c r="D12" s="29" t="s">
        <v>18</v>
      </c>
      <c r="E12" s="40" t="s">
        <v>168</v>
      </c>
      <c r="F12" s="22">
        <v>20000</v>
      </c>
      <c r="G12" s="22">
        <v>20000</v>
      </c>
      <c r="H12" s="23">
        <v>20000</v>
      </c>
      <c r="I12" s="22">
        <f>G12-H12</f>
        <v>0</v>
      </c>
      <c r="J12" s="22" t="s">
        <v>23</v>
      </c>
      <c r="K12" s="24"/>
      <c r="L12" s="25"/>
    </row>
    <row r="13" spans="1:12" ht="15.75" x14ac:dyDescent="0.25">
      <c r="A13" s="20" t="s">
        <v>21</v>
      </c>
      <c r="B13" s="21" t="s">
        <v>167</v>
      </c>
      <c r="C13" s="28" t="s">
        <v>79</v>
      </c>
      <c r="D13" s="29" t="s">
        <v>18</v>
      </c>
      <c r="E13" s="40" t="s">
        <v>168</v>
      </c>
      <c r="F13" s="22">
        <v>11000</v>
      </c>
      <c r="G13" s="22">
        <v>22000</v>
      </c>
      <c r="H13" s="23">
        <v>11000</v>
      </c>
      <c r="I13" s="22">
        <f>G13-H13</f>
        <v>11000</v>
      </c>
      <c r="J13" s="22" t="s">
        <v>16</v>
      </c>
      <c r="K13" s="24"/>
      <c r="L13" s="25"/>
    </row>
    <row r="14" spans="1:12" ht="15.75" x14ac:dyDescent="0.25">
      <c r="A14" s="20" t="s">
        <v>82</v>
      </c>
      <c r="B14" s="21" t="s">
        <v>163</v>
      </c>
      <c r="C14" s="28" t="s">
        <v>159</v>
      </c>
      <c r="D14" s="29" t="s">
        <v>164</v>
      </c>
      <c r="E14" s="40" t="s">
        <v>81</v>
      </c>
      <c r="F14" s="22">
        <v>45</v>
      </c>
      <c r="G14" s="22">
        <v>2000</v>
      </c>
      <c r="H14" s="23">
        <f>540+45</f>
        <v>585</v>
      </c>
      <c r="I14" s="22">
        <f>G14-H14</f>
        <v>1415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155</v>
      </c>
      <c r="C15" s="28" t="s">
        <v>79</v>
      </c>
      <c r="D15" s="29" t="s">
        <v>18</v>
      </c>
      <c r="E15" s="40" t="s">
        <v>156</v>
      </c>
      <c r="F15" s="22">
        <v>6500</v>
      </c>
      <c r="G15" s="22">
        <v>33000</v>
      </c>
      <c r="H15" s="23">
        <f>24000+6500</f>
        <v>30500</v>
      </c>
      <c r="I15" s="22">
        <f>G15-H15</f>
        <v>2500</v>
      </c>
      <c r="J15" s="22" t="s">
        <v>16</v>
      </c>
      <c r="K15" s="24"/>
      <c r="L15" s="25"/>
    </row>
    <row r="16" spans="1:12" ht="16.5" thickBot="1" x14ac:dyDescent="0.3">
      <c r="A16" s="30"/>
      <c r="B16" s="31"/>
      <c r="C16" s="32"/>
      <c r="D16" s="33"/>
      <c r="E16" s="41"/>
      <c r="F16" s="34"/>
      <c r="G16" s="34"/>
      <c r="H16" s="35"/>
      <c r="I16" s="34"/>
      <c r="J16" s="34" t="s">
        <v>64</v>
      </c>
      <c r="K16" s="36"/>
      <c r="L16" s="37"/>
    </row>
    <row r="25" spans="4:4" x14ac:dyDescent="0.25">
      <c r="D25">
        <f>D28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23"/>
  <sheetViews>
    <sheetView workbookViewId="0">
      <pane xSplit="3" topLeftCell="E1" activePane="topRight" state="frozen"/>
      <selection pane="topRight" activeCell="A4" sqref="A4:XFD4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149</v>
      </c>
      <c r="C4" s="26" t="s">
        <v>62</v>
      </c>
      <c r="D4" s="27" t="s">
        <v>54</v>
      </c>
      <c r="E4" s="39" t="s">
        <v>59</v>
      </c>
      <c r="F4" s="16">
        <v>7000</v>
      </c>
      <c r="G4" s="16">
        <v>500000</v>
      </c>
      <c r="H4" s="17">
        <f>67000+56000+31000+7000</f>
        <v>161000</v>
      </c>
      <c r="I4" s="16">
        <f t="shared" ref="I4:I7" si="0">G4-H4</f>
        <v>339000</v>
      </c>
      <c r="J4" s="16" t="s">
        <v>16</v>
      </c>
      <c r="K4" s="18"/>
      <c r="L4" s="19"/>
    </row>
    <row r="5" spans="1:12" ht="15.75" x14ac:dyDescent="0.25">
      <c r="A5" s="20" t="s">
        <v>21</v>
      </c>
      <c r="B5" s="21" t="s">
        <v>177</v>
      </c>
      <c r="C5" s="28" t="s">
        <v>75</v>
      </c>
      <c r="D5" s="29" t="s">
        <v>178</v>
      </c>
      <c r="E5" s="40" t="s">
        <v>179</v>
      </c>
      <c r="F5" s="22">
        <v>14000</v>
      </c>
      <c r="G5" s="22">
        <v>40200</v>
      </c>
      <c r="H5" s="23">
        <v>14000</v>
      </c>
      <c r="I5" s="22">
        <f t="shared" si="0"/>
        <v>26200</v>
      </c>
      <c r="J5" s="22" t="s">
        <v>16</v>
      </c>
      <c r="K5" s="24"/>
      <c r="L5" s="25"/>
    </row>
    <row r="6" spans="1:12" ht="15.75" x14ac:dyDescent="0.25">
      <c r="A6" s="20" t="s">
        <v>17</v>
      </c>
      <c r="B6" s="21" t="s">
        <v>128</v>
      </c>
      <c r="C6" s="28" t="s">
        <v>32</v>
      </c>
      <c r="D6" s="29" t="s">
        <v>18</v>
      </c>
      <c r="E6" s="40" t="s">
        <v>33</v>
      </c>
      <c r="F6" s="22">
        <v>475</v>
      </c>
      <c r="G6" s="22">
        <v>20000</v>
      </c>
      <c r="H6" s="23">
        <f>1750+2990+3000+10+750+475</f>
        <v>8975</v>
      </c>
      <c r="I6" s="22">
        <f t="shared" si="0"/>
        <v>11025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94</v>
      </c>
      <c r="C7" s="28" t="s">
        <v>95</v>
      </c>
      <c r="D7" s="29" t="s">
        <v>77</v>
      </c>
      <c r="E7" s="40" t="s">
        <v>96</v>
      </c>
      <c r="F7" s="22">
        <v>3000</v>
      </c>
      <c r="G7" s="22">
        <v>200000</v>
      </c>
      <c r="H7" s="23">
        <f>8000+15000+12000+12000+7000+7000+10000+3000</f>
        <v>74000</v>
      </c>
      <c r="I7" s="22">
        <f t="shared" si="0"/>
        <v>126000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180</v>
      </c>
      <c r="C8" s="28" t="s">
        <v>159</v>
      </c>
      <c r="D8" s="29" t="s">
        <v>52</v>
      </c>
      <c r="E8" s="40" t="s">
        <v>181</v>
      </c>
      <c r="F8" s="22">
        <v>46.7</v>
      </c>
      <c r="G8" s="22">
        <v>2000</v>
      </c>
      <c r="H8" s="23">
        <v>46.7</v>
      </c>
      <c r="I8" s="22">
        <f>G8-H8</f>
        <v>1953.3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170</v>
      </c>
      <c r="C9" s="28" t="s">
        <v>29</v>
      </c>
      <c r="D9" s="29" t="s">
        <v>18</v>
      </c>
      <c r="E9" s="40" t="s">
        <v>171</v>
      </c>
      <c r="F9" s="22">
        <f>3650+16000</f>
        <v>19650</v>
      </c>
      <c r="G9" s="22">
        <v>40000</v>
      </c>
      <c r="H9" s="23">
        <f>19000+19650</f>
        <v>38650</v>
      </c>
      <c r="I9" s="22">
        <f>G9-H9</f>
        <v>1350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182</v>
      </c>
      <c r="C10" s="28" t="s">
        <v>183</v>
      </c>
      <c r="D10" s="29" t="s">
        <v>52</v>
      </c>
      <c r="E10" s="40" t="s">
        <v>184</v>
      </c>
      <c r="F10" s="22">
        <v>134.19999999999999</v>
      </c>
      <c r="G10" s="22">
        <v>400</v>
      </c>
      <c r="H10" s="23">
        <v>134.19999999999999</v>
      </c>
      <c r="I10" s="22">
        <f>G10-H10</f>
        <v>265.8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165</v>
      </c>
      <c r="C11" s="28" t="s">
        <v>75</v>
      </c>
      <c r="D11" s="29" t="s">
        <v>18</v>
      </c>
      <c r="E11" s="40" t="s">
        <v>166</v>
      </c>
      <c r="F11" s="22">
        <f>2500+2000+600</f>
        <v>5100</v>
      </c>
      <c r="G11" s="22">
        <v>7000</v>
      </c>
      <c r="H11" s="23">
        <f>1950+4500+600</f>
        <v>7050</v>
      </c>
      <c r="I11" s="22">
        <f t="shared" ref="I11" si="1">G11-H11</f>
        <v>-50</v>
      </c>
      <c r="J11" s="22" t="s">
        <v>24</v>
      </c>
      <c r="K11" s="24"/>
      <c r="L11" s="25"/>
    </row>
    <row r="12" spans="1:12" ht="15.75" x14ac:dyDescent="0.25">
      <c r="A12" s="20" t="s">
        <v>21</v>
      </c>
      <c r="B12" s="21" t="s">
        <v>167</v>
      </c>
      <c r="C12" s="28" t="s">
        <v>79</v>
      </c>
      <c r="D12" s="29" t="s">
        <v>18</v>
      </c>
      <c r="E12" s="40" t="s">
        <v>168</v>
      </c>
      <c r="F12" s="22">
        <v>11910</v>
      </c>
      <c r="G12" s="22">
        <v>22000</v>
      </c>
      <c r="H12" s="23">
        <f>11000+11910</f>
        <v>22910</v>
      </c>
      <c r="I12" s="22">
        <f>G12-H12</f>
        <v>-910</v>
      </c>
      <c r="J12" s="22" t="s">
        <v>24</v>
      </c>
      <c r="K12" s="24"/>
      <c r="L12" s="25"/>
    </row>
    <row r="13" spans="1:12" ht="15.75" x14ac:dyDescent="0.25">
      <c r="A13" s="20" t="s">
        <v>185</v>
      </c>
      <c r="B13" s="21" t="s">
        <v>186</v>
      </c>
      <c r="C13" s="28" t="s">
        <v>187</v>
      </c>
      <c r="D13" s="29" t="s">
        <v>93</v>
      </c>
      <c r="E13" s="40" t="s">
        <v>46</v>
      </c>
      <c r="F13" s="22">
        <v>46.3</v>
      </c>
      <c r="G13" s="22">
        <v>400</v>
      </c>
      <c r="H13" s="23">
        <f>460.7+46.3</f>
        <v>507</v>
      </c>
      <c r="I13" s="22">
        <f>G13-H13</f>
        <v>-107</v>
      </c>
      <c r="J13" s="22" t="s">
        <v>24</v>
      </c>
      <c r="K13" s="24"/>
      <c r="L13" s="25"/>
    </row>
    <row r="14" spans="1:12" ht="16.5" thickBot="1" x14ac:dyDescent="0.3">
      <c r="A14" s="30"/>
      <c r="B14" s="31"/>
      <c r="C14" s="32"/>
      <c r="D14" s="33"/>
      <c r="E14" s="41"/>
      <c r="F14" s="34"/>
      <c r="G14" s="34"/>
      <c r="H14" s="35"/>
      <c r="I14" s="34"/>
      <c r="J14" s="34" t="s">
        <v>64</v>
      </c>
      <c r="K14" s="36"/>
      <c r="L14" s="37"/>
    </row>
    <row r="23" spans="4:4" x14ac:dyDescent="0.25">
      <c r="D23">
        <f>D26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31"/>
  <sheetViews>
    <sheetView workbookViewId="0">
      <pane xSplit="3" topLeftCell="D1" activePane="topRight" state="frozen"/>
      <selection pane="topRight" activeCell="A21" sqref="A21:XFD21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20</v>
      </c>
      <c r="B4" s="15" t="s">
        <v>134</v>
      </c>
      <c r="C4" s="26" t="s">
        <v>75</v>
      </c>
      <c r="D4" s="27" t="s">
        <v>18</v>
      </c>
      <c r="E4" s="39" t="s">
        <v>135</v>
      </c>
      <c r="F4" s="16">
        <f>13500+2000</f>
        <v>15500</v>
      </c>
      <c r="G4" s="16">
        <v>125000</v>
      </c>
      <c r="H4" s="17">
        <v>47500</v>
      </c>
      <c r="I4" s="16">
        <f t="shared" ref="I4:I8" si="0">G4-H4</f>
        <v>77500</v>
      </c>
      <c r="J4" s="16" t="s">
        <v>16</v>
      </c>
      <c r="K4" s="18"/>
      <c r="L4" s="19"/>
    </row>
    <row r="5" spans="1:12" ht="15.75" x14ac:dyDescent="0.25">
      <c r="A5" s="20" t="s">
        <v>21</v>
      </c>
      <c r="B5" s="21" t="s">
        <v>177</v>
      </c>
      <c r="C5" s="28" t="s">
        <v>75</v>
      </c>
      <c r="D5" s="29" t="s">
        <v>178</v>
      </c>
      <c r="E5" s="40" t="s">
        <v>179</v>
      </c>
      <c r="F5" s="22">
        <v>1375</v>
      </c>
      <c r="G5" s="22">
        <v>50000</v>
      </c>
      <c r="H5" s="23">
        <v>46935</v>
      </c>
      <c r="I5" s="22">
        <f t="shared" si="0"/>
        <v>3065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192</v>
      </c>
      <c r="C6" s="28" t="s">
        <v>34</v>
      </c>
      <c r="D6" s="29" t="s">
        <v>18</v>
      </c>
      <c r="E6" s="40" t="s">
        <v>193</v>
      </c>
      <c r="F6" s="22">
        <v>72000</v>
      </c>
      <c r="G6" s="22">
        <v>300000</v>
      </c>
      <c r="H6" s="23">
        <v>72000</v>
      </c>
      <c r="I6" s="22">
        <f t="shared" si="0"/>
        <v>228000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67</v>
      </c>
      <c r="C7" s="28" t="s">
        <v>159</v>
      </c>
      <c r="D7" s="29" t="s">
        <v>18</v>
      </c>
      <c r="E7" s="40" t="s">
        <v>194</v>
      </c>
      <c r="F7" s="22">
        <v>8700</v>
      </c>
      <c r="G7" s="22">
        <v>10000</v>
      </c>
      <c r="H7" s="23">
        <v>8700</v>
      </c>
      <c r="I7" s="22">
        <f t="shared" si="0"/>
        <v>1300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145</v>
      </c>
      <c r="C8" s="28" t="s">
        <v>83</v>
      </c>
      <c r="D8" s="29" t="s">
        <v>146</v>
      </c>
      <c r="E8" s="40" t="s">
        <v>147</v>
      </c>
      <c r="F8" s="22">
        <v>470</v>
      </c>
      <c r="G8" s="22">
        <v>30000</v>
      </c>
      <c r="H8" s="23">
        <f>12500+2000+11000+470</f>
        <v>25970</v>
      </c>
      <c r="I8" s="22">
        <f t="shared" si="0"/>
        <v>4030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170</v>
      </c>
      <c r="C9" s="28" t="s">
        <v>29</v>
      </c>
      <c r="D9" s="29" t="s">
        <v>18</v>
      </c>
      <c r="E9" s="40" t="s">
        <v>171</v>
      </c>
      <c r="F9" s="22">
        <v>1350</v>
      </c>
      <c r="G9" s="22">
        <v>40000</v>
      </c>
      <c r="H9" s="23">
        <f>19000+19650+1350</f>
        <v>40000</v>
      </c>
      <c r="I9" s="22">
        <f>G9-H9</f>
        <v>0</v>
      </c>
      <c r="J9" s="22" t="s">
        <v>23</v>
      </c>
      <c r="K9" s="24"/>
      <c r="L9" s="25"/>
    </row>
    <row r="10" spans="1:12" ht="15.75" x14ac:dyDescent="0.25">
      <c r="A10" s="20" t="s">
        <v>19</v>
      </c>
      <c r="B10" s="21" t="s">
        <v>188</v>
      </c>
      <c r="C10" s="28" t="s">
        <v>41</v>
      </c>
      <c r="D10" s="29" t="s">
        <v>116</v>
      </c>
      <c r="E10" s="40" t="s">
        <v>189</v>
      </c>
      <c r="F10" s="22">
        <v>4000</v>
      </c>
      <c r="G10" s="22">
        <v>60000</v>
      </c>
      <c r="H10" s="23">
        <f>32150+9000+16000+4000</f>
        <v>61150</v>
      </c>
      <c r="I10" s="22">
        <f>G10-H10</f>
        <v>-1150</v>
      </c>
      <c r="J10" s="22" t="s">
        <v>24</v>
      </c>
      <c r="K10" s="24"/>
      <c r="L10" s="25"/>
    </row>
    <row r="11" spans="1:12" ht="15.75" x14ac:dyDescent="0.25">
      <c r="A11" s="20" t="s">
        <v>20</v>
      </c>
      <c r="B11" s="21" t="s">
        <v>165</v>
      </c>
      <c r="C11" s="28" t="s">
        <v>75</v>
      </c>
      <c r="D11" s="29" t="s">
        <v>18</v>
      </c>
      <c r="E11" s="40" t="s">
        <v>166</v>
      </c>
      <c r="F11" s="22">
        <v>600</v>
      </c>
      <c r="G11" s="22">
        <v>7000</v>
      </c>
      <c r="H11" s="23">
        <f>1950+4500+600+600</f>
        <v>7650</v>
      </c>
      <c r="I11" s="22">
        <f t="shared" ref="I11" si="1">G11-H11</f>
        <v>-650</v>
      </c>
      <c r="J11" s="22" t="s">
        <v>24</v>
      </c>
      <c r="K11" s="24"/>
      <c r="L11" s="25"/>
    </row>
    <row r="12" spans="1:12" ht="15.75" x14ac:dyDescent="0.25">
      <c r="A12" s="20" t="s">
        <v>17</v>
      </c>
      <c r="B12" s="21" t="s">
        <v>190</v>
      </c>
      <c r="C12" s="28" t="s">
        <v>79</v>
      </c>
      <c r="D12" s="29" t="s">
        <v>18</v>
      </c>
      <c r="E12" s="40" t="s">
        <v>191</v>
      </c>
      <c r="F12" s="22">
        <f>248+3600</f>
        <v>3848</v>
      </c>
      <c r="G12" s="22">
        <v>4000</v>
      </c>
      <c r="H12" s="23">
        <v>3848</v>
      </c>
      <c r="I12" s="22">
        <f t="shared" ref="I12:I21" si="2">G12-H12</f>
        <v>152</v>
      </c>
      <c r="J12" s="22" t="s">
        <v>16</v>
      </c>
      <c r="K12" s="24"/>
      <c r="L12" s="25"/>
    </row>
    <row r="13" spans="1:12" ht="15.75" x14ac:dyDescent="0.25">
      <c r="A13" s="20" t="s">
        <v>28</v>
      </c>
      <c r="B13" s="21" t="s">
        <v>160</v>
      </c>
      <c r="C13" s="28" t="s">
        <v>159</v>
      </c>
      <c r="D13" s="29" t="s">
        <v>18</v>
      </c>
      <c r="E13" s="40" t="s">
        <v>39</v>
      </c>
      <c r="F13" s="22">
        <f>12000+5180</f>
        <v>17180</v>
      </c>
      <c r="G13" s="22">
        <v>100000</v>
      </c>
      <c r="H13" s="23">
        <v>17180</v>
      </c>
      <c r="I13" s="22">
        <f t="shared" si="2"/>
        <v>82820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195</v>
      </c>
      <c r="C14" s="28" t="s">
        <v>196</v>
      </c>
      <c r="D14" s="29" t="s">
        <v>18</v>
      </c>
      <c r="E14" s="40" t="s">
        <v>197</v>
      </c>
      <c r="F14" s="22">
        <v>835</v>
      </c>
      <c r="G14" s="22">
        <v>831</v>
      </c>
      <c r="H14" s="23">
        <v>835</v>
      </c>
      <c r="I14" s="22">
        <f t="shared" si="2"/>
        <v>-4</v>
      </c>
      <c r="J14" s="22" t="s">
        <v>23</v>
      </c>
      <c r="K14" s="24"/>
      <c r="L14" s="25"/>
    </row>
    <row r="15" spans="1:12" ht="15.75" x14ac:dyDescent="0.25">
      <c r="A15" s="20" t="s">
        <v>14</v>
      </c>
      <c r="B15" s="21" t="s">
        <v>198</v>
      </c>
      <c r="C15" s="28" t="s">
        <v>199</v>
      </c>
      <c r="D15" s="29" t="s">
        <v>18</v>
      </c>
      <c r="E15" s="40" t="s">
        <v>200</v>
      </c>
      <c r="F15" s="22">
        <v>6445</v>
      </c>
      <c r="G15" s="22">
        <v>15000</v>
      </c>
      <c r="H15" s="23">
        <v>6445</v>
      </c>
      <c r="I15" s="22">
        <f t="shared" si="2"/>
        <v>8555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201</v>
      </c>
      <c r="C16" s="28" t="s">
        <v>159</v>
      </c>
      <c r="D16" s="29" t="s">
        <v>18</v>
      </c>
      <c r="E16" s="40" t="s">
        <v>202</v>
      </c>
      <c r="F16" s="22">
        <v>5000</v>
      </c>
      <c r="G16" s="22">
        <v>20000</v>
      </c>
      <c r="H16" s="23">
        <v>5000</v>
      </c>
      <c r="I16" s="22">
        <f t="shared" si="2"/>
        <v>15000</v>
      </c>
      <c r="J16" s="22" t="s">
        <v>16</v>
      </c>
      <c r="K16" s="24"/>
      <c r="L16" s="25"/>
    </row>
    <row r="17" spans="1:12" ht="15.75" x14ac:dyDescent="0.25">
      <c r="A17" s="20" t="s">
        <v>22</v>
      </c>
      <c r="B17" s="21" t="s">
        <v>203</v>
      </c>
      <c r="C17" s="28" t="s">
        <v>204</v>
      </c>
      <c r="D17" s="29" t="s">
        <v>205</v>
      </c>
      <c r="E17" s="40" t="s">
        <v>206</v>
      </c>
      <c r="F17" s="22">
        <v>300.10000000000002</v>
      </c>
      <c r="G17" s="22">
        <v>3000</v>
      </c>
      <c r="H17" s="23">
        <f>300.1</f>
        <v>300.10000000000002</v>
      </c>
      <c r="I17" s="22">
        <f t="shared" si="2"/>
        <v>2699.9</v>
      </c>
      <c r="J17" s="22" t="s">
        <v>16</v>
      </c>
      <c r="K17" s="24"/>
      <c r="L17" s="25"/>
    </row>
    <row r="18" spans="1:12" ht="15.75" x14ac:dyDescent="0.25">
      <c r="A18" s="20" t="s">
        <v>44</v>
      </c>
      <c r="B18" s="21" t="s">
        <v>158</v>
      </c>
      <c r="C18" s="28" t="s">
        <v>159</v>
      </c>
      <c r="D18" s="29" t="s">
        <v>47</v>
      </c>
      <c r="E18" s="40" t="s">
        <v>207</v>
      </c>
      <c r="F18" s="22">
        <v>17000</v>
      </c>
      <c r="G18" s="22">
        <v>50000</v>
      </c>
      <c r="H18" s="23">
        <v>28000</v>
      </c>
      <c r="I18" s="22">
        <f t="shared" si="2"/>
        <v>22000</v>
      </c>
      <c r="J18" s="22" t="s">
        <v>16</v>
      </c>
      <c r="K18" s="24"/>
      <c r="L18" s="25"/>
    </row>
    <row r="19" spans="1:12" ht="15.75" x14ac:dyDescent="0.25">
      <c r="A19" s="20" t="s">
        <v>22</v>
      </c>
      <c r="B19" s="21" t="s">
        <v>209</v>
      </c>
      <c r="C19" s="28" t="s">
        <v>210</v>
      </c>
      <c r="D19" s="29" t="s">
        <v>211</v>
      </c>
      <c r="E19" s="40" t="s">
        <v>212</v>
      </c>
      <c r="F19" s="22">
        <f>92.7+77.1</f>
        <v>169.8</v>
      </c>
      <c r="G19" s="22">
        <v>3000</v>
      </c>
      <c r="H19" s="23">
        <v>169.8</v>
      </c>
      <c r="I19" s="22">
        <f t="shared" si="2"/>
        <v>2830.2</v>
      </c>
      <c r="J19" s="22" t="s">
        <v>16</v>
      </c>
      <c r="K19" s="24"/>
      <c r="L19" s="25"/>
    </row>
    <row r="20" spans="1:12" ht="15.75" x14ac:dyDescent="0.25">
      <c r="A20" s="20" t="s">
        <v>82</v>
      </c>
      <c r="B20" s="21" t="s">
        <v>163</v>
      </c>
      <c r="C20" s="28" t="s">
        <v>159</v>
      </c>
      <c r="D20" s="29" t="s">
        <v>164</v>
      </c>
      <c r="E20" s="40" t="s">
        <v>81</v>
      </c>
      <c r="F20" s="22">
        <v>130</v>
      </c>
      <c r="G20" s="22">
        <v>2000</v>
      </c>
      <c r="H20" s="23">
        <f>540+45+130</f>
        <v>715</v>
      </c>
      <c r="I20" s="22">
        <f t="shared" si="2"/>
        <v>1285</v>
      </c>
      <c r="J20" s="22" t="s">
        <v>16</v>
      </c>
      <c r="K20" s="24"/>
      <c r="L20" s="25"/>
    </row>
    <row r="21" spans="1:12" ht="15.75" x14ac:dyDescent="0.25">
      <c r="A21" s="20" t="s">
        <v>185</v>
      </c>
      <c r="B21" s="21" t="s">
        <v>186</v>
      </c>
      <c r="C21" s="28" t="s">
        <v>187</v>
      </c>
      <c r="D21" s="29" t="s">
        <v>93</v>
      </c>
      <c r="E21" s="40" t="s">
        <v>46</v>
      </c>
      <c r="F21" s="22">
        <v>46.3</v>
      </c>
      <c r="G21" s="22">
        <v>400</v>
      </c>
      <c r="H21" s="23">
        <f>460.7+46.3</f>
        <v>507</v>
      </c>
      <c r="I21" s="22">
        <f t="shared" si="2"/>
        <v>-107</v>
      </c>
      <c r="J21" s="22" t="s">
        <v>24</v>
      </c>
      <c r="K21" s="24"/>
      <c r="L21" s="25"/>
    </row>
    <row r="22" spans="1:12" ht="16.5" thickBot="1" x14ac:dyDescent="0.3">
      <c r="A22" s="30"/>
      <c r="B22" s="31"/>
      <c r="C22" s="32"/>
      <c r="D22" s="33"/>
      <c r="E22" s="41"/>
      <c r="F22" s="34"/>
      <c r="G22" s="34"/>
      <c r="H22" s="35"/>
      <c r="I22" s="34"/>
      <c r="J22" s="34" t="s">
        <v>64</v>
      </c>
      <c r="K22" s="36"/>
      <c r="L22" s="37"/>
    </row>
    <row r="31" spans="1:12" x14ac:dyDescent="0.25">
      <c r="D31">
        <f>D34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93"/>
  <sheetViews>
    <sheetView workbookViewId="0">
      <pane xSplit="3" topLeftCell="G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213</v>
      </c>
      <c r="C4" s="26" t="s">
        <v>214</v>
      </c>
      <c r="D4" s="27" t="s">
        <v>215</v>
      </c>
      <c r="E4" s="39" t="s">
        <v>216</v>
      </c>
      <c r="F4" s="16">
        <f>6410+8000</f>
        <v>14410</v>
      </c>
      <c r="G4" s="16">
        <v>30000</v>
      </c>
      <c r="H4" s="17">
        <v>20800</v>
      </c>
      <c r="I4" s="16">
        <f t="shared" ref="I4:I8" si="0">G4-H4</f>
        <v>9200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217</v>
      </c>
      <c r="C5" s="28" t="s">
        <v>15</v>
      </c>
      <c r="D5" s="29" t="s">
        <v>53</v>
      </c>
      <c r="E5" s="40" t="s">
        <v>218</v>
      </c>
      <c r="F5" s="22">
        <v>8000</v>
      </c>
      <c r="G5" s="22">
        <v>250000</v>
      </c>
      <c r="H5" s="23">
        <v>8000</v>
      </c>
      <c r="I5" s="22">
        <f t="shared" si="0"/>
        <v>242000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192</v>
      </c>
      <c r="C6" s="28" t="s">
        <v>34</v>
      </c>
      <c r="D6" s="29" t="s">
        <v>18</v>
      </c>
      <c r="E6" s="40" t="s">
        <v>193</v>
      </c>
      <c r="F6" s="22">
        <v>50000</v>
      </c>
      <c r="G6" s="22">
        <v>300000</v>
      </c>
      <c r="H6" s="23">
        <f>72000+50000</f>
        <v>122000</v>
      </c>
      <c r="I6" s="22">
        <f t="shared" si="0"/>
        <v>178000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209</v>
      </c>
      <c r="C7" s="28" t="s">
        <v>210</v>
      </c>
      <c r="D7" s="29" t="s">
        <v>211</v>
      </c>
      <c r="E7" s="40" t="s">
        <v>212</v>
      </c>
      <c r="F7" s="22">
        <v>98.2</v>
      </c>
      <c r="G7" s="22">
        <v>3000</v>
      </c>
      <c r="H7" s="23">
        <f>169.8+98.2</f>
        <v>268</v>
      </c>
      <c r="I7" s="22">
        <f>G7-H7</f>
        <v>2732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67</v>
      </c>
      <c r="C8" s="28" t="s">
        <v>15</v>
      </c>
      <c r="D8" s="29" t="s">
        <v>219</v>
      </c>
      <c r="E8" s="40" t="s">
        <v>220</v>
      </c>
      <c r="F8" s="22">
        <v>2500</v>
      </c>
      <c r="G8" s="22">
        <v>30000</v>
      </c>
      <c r="H8" s="23">
        <v>2500</v>
      </c>
      <c r="I8" s="22">
        <f t="shared" si="0"/>
        <v>27500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221</v>
      </c>
      <c r="C9" s="28" t="s">
        <v>70</v>
      </c>
      <c r="D9" s="29" t="s">
        <v>71</v>
      </c>
      <c r="E9" s="40" t="s">
        <v>222</v>
      </c>
      <c r="F9" s="22">
        <v>68000</v>
      </c>
      <c r="G9" s="22">
        <v>160000</v>
      </c>
      <c r="H9" s="23">
        <v>134060</v>
      </c>
      <c r="I9" s="22">
        <f>G9-H9</f>
        <v>25940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208</v>
      </c>
      <c r="C10" s="28" t="s">
        <v>41</v>
      </c>
      <c r="D10" s="29" t="s">
        <v>116</v>
      </c>
      <c r="E10" s="40" t="s">
        <v>189</v>
      </c>
      <c r="F10" s="22">
        <v>1400</v>
      </c>
      <c r="G10" s="22">
        <v>60000</v>
      </c>
      <c r="H10" s="23">
        <v>5400</v>
      </c>
      <c r="I10" s="22">
        <f>G10-H10</f>
        <v>54600</v>
      </c>
      <c r="J10" s="22" t="s">
        <v>16</v>
      </c>
      <c r="K10" s="24"/>
      <c r="L10" s="25"/>
    </row>
    <row r="11" spans="1:12" ht="16.5" thickBot="1" x14ac:dyDescent="0.3">
      <c r="A11" s="30"/>
      <c r="B11" s="31"/>
      <c r="C11" s="32"/>
      <c r="D11" s="33"/>
      <c r="E11" s="41"/>
      <c r="F11" s="34"/>
      <c r="G11" s="34"/>
      <c r="H11" s="35"/>
      <c r="I11" s="34"/>
      <c r="J11" s="34" t="s">
        <v>64</v>
      </c>
      <c r="K11" s="36"/>
      <c r="L11" s="37"/>
    </row>
    <row r="20" spans="4:4" x14ac:dyDescent="0.25">
      <c r="D20">
        <f>D23</f>
        <v>0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29"/>
  <sheetViews>
    <sheetView workbookViewId="0">
      <pane xSplit="3" topLeftCell="E1" activePane="topRight" state="frozen"/>
      <selection pane="topRight" activeCell="H12" sqref="H12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226</v>
      </c>
      <c r="C4" s="26" t="s">
        <v>75</v>
      </c>
      <c r="D4" s="27" t="s">
        <v>18</v>
      </c>
      <c r="E4" s="39" t="s">
        <v>227</v>
      </c>
      <c r="F4" s="16">
        <v>22925</v>
      </c>
      <c r="G4" s="16">
        <v>30000</v>
      </c>
      <c r="H4" s="17">
        <v>22925</v>
      </c>
      <c r="I4" s="16">
        <f t="shared" ref="I4:I8" si="0">G4-H4</f>
        <v>7075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217</v>
      </c>
      <c r="C5" s="28" t="s">
        <v>15</v>
      </c>
      <c r="D5" s="29" t="s">
        <v>53</v>
      </c>
      <c r="E5" s="40" t="s">
        <v>218</v>
      </c>
      <c r="F5" s="22">
        <v>6000</v>
      </c>
      <c r="G5" s="22">
        <v>250000</v>
      </c>
      <c r="H5" s="23">
        <f>8000+6000</f>
        <v>14000</v>
      </c>
      <c r="I5" s="22">
        <f t="shared" si="0"/>
        <v>236000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201</v>
      </c>
      <c r="C6" s="28" t="s">
        <v>15</v>
      </c>
      <c r="D6" s="29" t="s">
        <v>18</v>
      </c>
      <c r="E6" s="40" t="s">
        <v>202</v>
      </c>
      <c r="F6" s="22">
        <v>10500</v>
      </c>
      <c r="G6" s="22">
        <v>20000</v>
      </c>
      <c r="H6" s="23">
        <v>10500</v>
      </c>
      <c r="I6" s="22">
        <f t="shared" si="0"/>
        <v>9500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209</v>
      </c>
      <c r="C7" s="28" t="s">
        <v>210</v>
      </c>
      <c r="D7" s="29" t="s">
        <v>211</v>
      </c>
      <c r="E7" s="40" t="s">
        <v>212</v>
      </c>
      <c r="F7" s="22">
        <f>214.2+131</f>
        <v>345.2</v>
      </c>
      <c r="G7" s="22">
        <v>3000</v>
      </c>
      <c r="H7" s="23">
        <f>169.8+98.2+345.2</f>
        <v>613.20000000000005</v>
      </c>
      <c r="I7" s="22">
        <f>G7-H7</f>
        <v>2386.8000000000002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67</v>
      </c>
      <c r="C8" s="28" t="s">
        <v>15</v>
      </c>
      <c r="D8" s="29" t="s">
        <v>219</v>
      </c>
      <c r="E8" s="40" t="s">
        <v>220</v>
      </c>
      <c r="F8" s="22">
        <v>6000</v>
      </c>
      <c r="G8" s="22">
        <v>30000</v>
      </c>
      <c r="H8" s="23">
        <f>2500+6000</f>
        <v>8500</v>
      </c>
      <c r="I8" s="22">
        <f t="shared" si="0"/>
        <v>21500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221</v>
      </c>
      <c r="C9" s="28" t="s">
        <v>70</v>
      </c>
      <c r="D9" s="29" t="s">
        <v>71</v>
      </c>
      <c r="E9" s="40" t="s">
        <v>222</v>
      </c>
      <c r="F9" s="22">
        <v>10000</v>
      </c>
      <c r="G9" s="22">
        <v>160000</v>
      </c>
      <c r="H9" s="23">
        <f>134060+10000</f>
        <v>144060</v>
      </c>
      <c r="I9" s="22">
        <f t="shared" ref="I9:I19" si="1">G9-H9</f>
        <v>15940</v>
      </c>
      <c r="J9" s="22" t="s">
        <v>16</v>
      </c>
      <c r="K9" s="24"/>
      <c r="L9" s="25"/>
    </row>
    <row r="10" spans="1:12" ht="15.75" x14ac:dyDescent="0.25">
      <c r="A10" s="20" t="s">
        <v>51</v>
      </c>
      <c r="B10" s="21" t="s">
        <v>223</v>
      </c>
      <c r="C10" s="28" t="s">
        <v>224</v>
      </c>
      <c r="D10" s="29" t="s">
        <v>225</v>
      </c>
      <c r="E10" s="40" t="s">
        <v>38</v>
      </c>
      <c r="F10" s="22">
        <v>541.20000000000005</v>
      </c>
      <c r="G10" s="22">
        <v>1000</v>
      </c>
      <c r="H10" s="23">
        <v>541.20000000000005</v>
      </c>
      <c r="I10" s="22">
        <f t="shared" si="1"/>
        <v>458.79999999999995</v>
      </c>
      <c r="J10" s="22" t="s">
        <v>16</v>
      </c>
      <c r="K10" s="24"/>
      <c r="L10" s="25"/>
    </row>
    <row r="11" spans="1:12" ht="15.75" x14ac:dyDescent="0.25">
      <c r="A11" s="20" t="s">
        <v>228</v>
      </c>
      <c r="B11" s="21" t="s">
        <v>229</v>
      </c>
      <c r="C11" s="28" t="s">
        <v>15</v>
      </c>
      <c r="D11" s="29" t="s">
        <v>18</v>
      </c>
      <c r="E11" s="40" t="s">
        <v>230</v>
      </c>
      <c r="F11" s="22">
        <v>18000</v>
      </c>
      <c r="G11" s="22">
        <v>200000</v>
      </c>
      <c r="H11" s="23">
        <v>18000</v>
      </c>
      <c r="I11" s="22">
        <f t="shared" si="1"/>
        <v>182000</v>
      </c>
      <c r="J11" s="22" t="s">
        <v>16</v>
      </c>
      <c r="K11" s="24"/>
      <c r="L11" s="25"/>
    </row>
    <row r="12" spans="1:12" ht="15.75" x14ac:dyDescent="0.25">
      <c r="A12" s="20" t="s">
        <v>231</v>
      </c>
      <c r="B12" s="21" t="s">
        <v>232</v>
      </c>
      <c r="C12" s="28" t="s">
        <v>154</v>
      </c>
      <c r="D12" s="29" t="s">
        <v>35</v>
      </c>
      <c r="E12" s="40" t="s">
        <v>46</v>
      </c>
      <c r="F12" s="22">
        <v>147.5</v>
      </c>
      <c r="G12" s="22">
        <v>1000</v>
      </c>
      <c r="H12" s="23">
        <v>251</v>
      </c>
      <c r="I12" s="22">
        <f t="shared" si="1"/>
        <v>749</v>
      </c>
      <c r="J12" s="22" t="s">
        <v>16</v>
      </c>
      <c r="K12" s="24"/>
      <c r="L12" s="25"/>
    </row>
    <row r="13" spans="1:12" ht="15.75" x14ac:dyDescent="0.25">
      <c r="A13" s="20" t="s">
        <v>25</v>
      </c>
      <c r="B13" s="21" t="s">
        <v>233</v>
      </c>
      <c r="C13" s="28" t="s">
        <v>15</v>
      </c>
      <c r="D13" s="29" t="s">
        <v>35</v>
      </c>
      <c r="E13" s="40" t="s">
        <v>234</v>
      </c>
      <c r="F13" s="22">
        <v>150.5</v>
      </c>
      <c r="G13" s="22">
        <v>500</v>
      </c>
      <c r="H13" s="23">
        <v>150.5</v>
      </c>
      <c r="I13" s="22">
        <f t="shared" si="1"/>
        <v>349.5</v>
      </c>
      <c r="J13" s="22" t="s">
        <v>16</v>
      </c>
      <c r="K13" s="24"/>
      <c r="L13" s="25"/>
    </row>
    <row r="14" spans="1:12" ht="15.75" x14ac:dyDescent="0.25">
      <c r="A14" s="20" t="s">
        <v>25</v>
      </c>
      <c r="B14" s="21" t="s">
        <v>235</v>
      </c>
      <c r="C14" s="28" t="s">
        <v>236</v>
      </c>
      <c r="D14" s="29" t="s">
        <v>237</v>
      </c>
      <c r="E14" s="40" t="s">
        <v>238</v>
      </c>
      <c r="F14" s="22">
        <v>20.399999999999999</v>
      </c>
      <c r="G14" s="22">
        <v>10</v>
      </c>
      <c r="H14" s="23">
        <v>20.399999999999999</v>
      </c>
      <c r="I14" s="22">
        <f t="shared" si="1"/>
        <v>-10.399999999999999</v>
      </c>
      <c r="J14" s="22" t="s">
        <v>24</v>
      </c>
      <c r="K14" s="24"/>
      <c r="L14" s="25"/>
    </row>
    <row r="15" spans="1:12" ht="15.75" x14ac:dyDescent="0.25">
      <c r="A15" s="20" t="s">
        <v>20</v>
      </c>
      <c r="B15" s="21" t="s">
        <v>134</v>
      </c>
      <c r="C15" s="28" t="s">
        <v>75</v>
      </c>
      <c r="D15" s="29" t="s">
        <v>18</v>
      </c>
      <c r="E15" s="40" t="s">
        <v>135</v>
      </c>
      <c r="F15" s="22">
        <f>10000+13500</f>
        <v>23500</v>
      </c>
      <c r="G15" s="22">
        <v>125000</v>
      </c>
      <c r="H15" s="23">
        <v>71000</v>
      </c>
      <c r="I15" s="22">
        <f t="shared" si="1"/>
        <v>54000</v>
      </c>
      <c r="J15" s="22" t="s">
        <v>16</v>
      </c>
      <c r="K15" s="24"/>
      <c r="L15" s="25"/>
    </row>
    <row r="16" spans="1:12" ht="15.75" x14ac:dyDescent="0.25">
      <c r="A16" s="20" t="s">
        <v>44</v>
      </c>
      <c r="B16" s="21" t="s">
        <v>67</v>
      </c>
      <c r="C16" s="28" t="s">
        <v>15</v>
      </c>
      <c r="D16" s="29" t="s">
        <v>47</v>
      </c>
      <c r="E16" s="40" t="s">
        <v>50</v>
      </c>
      <c r="F16" s="22">
        <v>22000</v>
      </c>
      <c r="G16" s="22">
        <v>50000</v>
      </c>
      <c r="H16" s="23">
        <v>50000</v>
      </c>
      <c r="I16" s="22">
        <f t="shared" si="1"/>
        <v>0</v>
      </c>
      <c r="J16" s="22" t="s">
        <v>23</v>
      </c>
      <c r="K16" s="24"/>
      <c r="L16" s="25"/>
    </row>
    <row r="17" spans="1:12" ht="15.75" x14ac:dyDescent="0.25">
      <c r="A17" s="20" t="s">
        <v>28</v>
      </c>
      <c r="B17" s="21" t="s">
        <v>160</v>
      </c>
      <c r="C17" s="28" t="s">
        <v>15</v>
      </c>
      <c r="D17" s="29" t="s">
        <v>18</v>
      </c>
      <c r="E17" s="40" t="s">
        <v>39</v>
      </c>
      <c r="F17" s="22">
        <v>21700</v>
      </c>
      <c r="G17" s="22">
        <v>100000</v>
      </c>
      <c r="H17" s="23">
        <v>21700</v>
      </c>
      <c r="I17" s="22">
        <f t="shared" si="1"/>
        <v>78300</v>
      </c>
      <c r="J17" s="22" t="s">
        <v>16</v>
      </c>
      <c r="K17" s="24"/>
      <c r="L17" s="25"/>
    </row>
    <row r="18" spans="1:12" ht="15.75" x14ac:dyDescent="0.25">
      <c r="A18" s="20" t="s">
        <v>28</v>
      </c>
      <c r="B18" s="21" t="s">
        <v>180</v>
      </c>
      <c r="C18" s="28" t="s">
        <v>15</v>
      </c>
      <c r="D18" s="29" t="s">
        <v>52</v>
      </c>
      <c r="E18" s="40" t="s">
        <v>181</v>
      </c>
      <c r="F18" s="22">
        <v>6000</v>
      </c>
      <c r="G18" s="22">
        <v>28900</v>
      </c>
      <c r="H18" s="23">
        <v>6000</v>
      </c>
      <c r="I18" s="22">
        <f t="shared" si="1"/>
        <v>22900</v>
      </c>
      <c r="J18" s="22" t="s">
        <v>16</v>
      </c>
      <c r="K18" s="24"/>
      <c r="L18" s="25"/>
    </row>
    <row r="19" spans="1:12" ht="15.75" x14ac:dyDescent="0.25">
      <c r="A19" s="20" t="s">
        <v>25</v>
      </c>
      <c r="B19" s="21" t="s">
        <v>239</v>
      </c>
      <c r="C19" s="28" t="s">
        <v>159</v>
      </c>
      <c r="D19" s="29" t="s">
        <v>240</v>
      </c>
      <c r="E19" s="40" t="s">
        <v>72</v>
      </c>
      <c r="F19" s="22">
        <v>995.3</v>
      </c>
      <c r="G19" s="22">
        <v>1000</v>
      </c>
      <c r="H19" s="23">
        <v>995.3</v>
      </c>
      <c r="I19" s="22">
        <f t="shared" si="1"/>
        <v>4.7000000000000455</v>
      </c>
      <c r="J19" s="22" t="s">
        <v>23</v>
      </c>
      <c r="K19" s="24"/>
      <c r="L19" s="25"/>
    </row>
    <row r="20" spans="1:12" ht="16.5" thickBot="1" x14ac:dyDescent="0.3">
      <c r="A20" s="30"/>
      <c r="B20" s="31"/>
      <c r="C20" s="32"/>
      <c r="D20" s="33"/>
      <c r="E20" s="41"/>
      <c r="F20" s="34"/>
      <c r="G20" s="34"/>
      <c r="H20" s="35"/>
      <c r="I20" s="34"/>
      <c r="J20" s="34" t="s">
        <v>64</v>
      </c>
      <c r="K20" s="36"/>
      <c r="L20" s="37"/>
    </row>
    <row r="29" spans="1:12" x14ac:dyDescent="0.25">
      <c r="D29">
        <f>D32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FAAD-EFD7-40B4-A95D-D856717A022E}">
  <dimension ref="A2:L24"/>
  <sheetViews>
    <sheetView workbookViewId="0">
      <pane xSplit="3" topLeftCell="E1" activePane="topRight" state="frozen"/>
      <selection pane="topRight" activeCell="A14" sqref="A14:XFD14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241</v>
      </c>
      <c r="C4" s="26" t="s">
        <v>242</v>
      </c>
      <c r="D4" s="27" t="s">
        <v>18</v>
      </c>
      <c r="E4" s="39" t="s">
        <v>243</v>
      </c>
      <c r="F4" s="16">
        <v>19890</v>
      </c>
      <c r="G4" s="16">
        <v>20000</v>
      </c>
      <c r="H4" s="17">
        <v>19890</v>
      </c>
      <c r="I4" s="16">
        <f t="shared" ref="I4:I23" si="0">G4-H4</f>
        <v>110</v>
      </c>
      <c r="J4" s="16" t="s">
        <v>31</v>
      </c>
      <c r="K4" s="18"/>
      <c r="L4" s="19"/>
    </row>
    <row r="5" spans="1:12" ht="15.75" x14ac:dyDescent="0.25">
      <c r="A5" s="20" t="s">
        <v>40</v>
      </c>
      <c r="B5" s="21" t="s">
        <v>149</v>
      </c>
      <c r="C5" s="28" t="s">
        <v>62</v>
      </c>
      <c r="D5" s="29" t="s">
        <v>54</v>
      </c>
      <c r="E5" s="40" t="s">
        <v>59</v>
      </c>
      <c r="F5" s="22">
        <v>48000</v>
      </c>
      <c r="G5" s="22">
        <v>500000</v>
      </c>
      <c r="H5" s="23">
        <f>161000+48000</f>
        <v>209000</v>
      </c>
      <c r="I5" s="22">
        <f t="shared" si="0"/>
        <v>291000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209</v>
      </c>
      <c r="C6" s="28" t="s">
        <v>210</v>
      </c>
      <c r="D6" s="29" t="s">
        <v>211</v>
      </c>
      <c r="E6" s="40" t="s">
        <v>212</v>
      </c>
      <c r="F6" s="22">
        <f>143.7+91.4+149.7</f>
        <v>384.79999999999995</v>
      </c>
      <c r="G6" s="22">
        <v>3000</v>
      </c>
      <c r="H6" s="23">
        <f>612.3+235.1+149.7</f>
        <v>997.09999999999991</v>
      </c>
      <c r="I6" s="22">
        <f>G6-H6</f>
        <v>2002.9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67</v>
      </c>
      <c r="C7" s="28" t="s">
        <v>15</v>
      </c>
      <c r="D7" s="29" t="s">
        <v>219</v>
      </c>
      <c r="E7" s="40" t="s">
        <v>220</v>
      </c>
      <c r="F7" s="22">
        <v>15500</v>
      </c>
      <c r="G7" s="22">
        <v>30000</v>
      </c>
      <c r="H7" s="23">
        <f>2500+6000+15500</f>
        <v>24000</v>
      </c>
      <c r="I7" s="22">
        <f t="shared" si="0"/>
        <v>6000</v>
      </c>
      <c r="J7" s="22" t="s">
        <v>16</v>
      </c>
      <c r="K7" s="24"/>
      <c r="L7" s="25"/>
    </row>
    <row r="8" spans="1:12" ht="15.75" x14ac:dyDescent="0.25">
      <c r="A8" s="20" t="s">
        <v>17</v>
      </c>
      <c r="B8" s="21" t="s">
        <v>97</v>
      </c>
      <c r="C8" s="28" t="s">
        <v>98</v>
      </c>
      <c r="D8" s="29" t="s">
        <v>18</v>
      </c>
      <c r="E8" s="40" t="s">
        <v>99</v>
      </c>
      <c r="F8" s="22">
        <v>3000</v>
      </c>
      <c r="G8" s="22">
        <v>47500</v>
      </c>
      <c r="H8" s="23">
        <f>3050+4250+6200+3250+2950+10450+1400+3000</f>
        <v>34550</v>
      </c>
      <c r="I8" s="22">
        <f t="shared" si="0"/>
        <v>12950</v>
      </c>
      <c r="J8" s="22" t="s">
        <v>16</v>
      </c>
      <c r="K8" s="24"/>
      <c r="L8" s="25"/>
    </row>
    <row r="9" spans="1:12" ht="15.75" x14ac:dyDescent="0.25">
      <c r="A9" s="20" t="s">
        <v>51</v>
      </c>
      <c r="B9" s="21" t="s">
        <v>223</v>
      </c>
      <c r="C9" s="28" t="s">
        <v>224</v>
      </c>
      <c r="D9" s="29" t="s">
        <v>225</v>
      </c>
      <c r="E9" s="40" t="s">
        <v>38</v>
      </c>
      <c r="F9" s="22">
        <f>341.9+134</f>
        <v>475.9</v>
      </c>
      <c r="G9" s="22">
        <v>1000</v>
      </c>
      <c r="H9" s="23">
        <v>896</v>
      </c>
      <c r="I9" s="22">
        <f t="shared" si="0"/>
        <v>104</v>
      </c>
      <c r="J9" s="22" t="s">
        <v>16</v>
      </c>
      <c r="K9" s="24"/>
      <c r="L9" s="25"/>
    </row>
    <row r="10" spans="1:12" ht="15.75" x14ac:dyDescent="0.25">
      <c r="A10" s="20" t="s">
        <v>228</v>
      </c>
      <c r="B10" s="21" t="s">
        <v>229</v>
      </c>
      <c r="C10" s="28" t="s">
        <v>15</v>
      </c>
      <c r="D10" s="29" t="s">
        <v>18</v>
      </c>
      <c r="E10" s="40" t="s">
        <v>230</v>
      </c>
      <c r="F10" s="22">
        <v>12000</v>
      </c>
      <c r="G10" s="22">
        <v>200000</v>
      </c>
      <c r="H10" s="23">
        <v>23500</v>
      </c>
      <c r="I10" s="22">
        <f t="shared" si="0"/>
        <v>176500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201</v>
      </c>
      <c r="C11" s="28" t="s">
        <v>15</v>
      </c>
      <c r="D11" s="29" t="s">
        <v>18</v>
      </c>
      <c r="E11" s="40" t="s">
        <v>202</v>
      </c>
      <c r="F11" s="22">
        <v>5200</v>
      </c>
      <c r="G11" s="22">
        <v>20000</v>
      </c>
      <c r="H11" s="23">
        <v>15700</v>
      </c>
      <c r="I11" s="22">
        <f>G11-H11</f>
        <v>4300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198</v>
      </c>
      <c r="C12" s="28" t="s">
        <v>199</v>
      </c>
      <c r="D12" s="29" t="s">
        <v>18</v>
      </c>
      <c r="E12" s="40" t="s">
        <v>200</v>
      </c>
      <c r="F12" s="22">
        <v>6445</v>
      </c>
      <c r="G12" s="22">
        <v>15000</v>
      </c>
      <c r="H12" s="23">
        <v>6445</v>
      </c>
      <c r="I12" s="22">
        <f t="shared" ref="I12" si="1">G12-H12</f>
        <v>8555</v>
      </c>
      <c r="J12" s="22" t="s">
        <v>16</v>
      </c>
      <c r="K12" s="24"/>
      <c r="L12" s="25"/>
    </row>
    <row r="13" spans="1:12" ht="16.5" customHeight="1" x14ac:dyDescent="0.25">
      <c r="A13" s="20" t="s">
        <v>19</v>
      </c>
      <c r="B13" s="21" t="s">
        <v>140</v>
      </c>
      <c r="C13" s="28" t="s">
        <v>273</v>
      </c>
      <c r="D13" s="29" t="s">
        <v>18</v>
      </c>
      <c r="E13" s="40" t="s">
        <v>274</v>
      </c>
      <c r="F13" s="22">
        <v>16000</v>
      </c>
      <c r="G13" s="22">
        <v>200000</v>
      </c>
      <c r="H13" s="23">
        <v>115000</v>
      </c>
      <c r="I13" s="22">
        <f t="shared" ref="I13:I16" si="2">G13-H13</f>
        <v>85000</v>
      </c>
      <c r="J13" s="22" t="s">
        <v>16</v>
      </c>
      <c r="K13" s="24"/>
      <c r="L13" s="25"/>
    </row>
    <row r="14" spans="1:12" ht="16.5" customHeight="1" x14ac:dyDescent="0.25">
      <c r="A14" s="20" t="s">
        <v>22</v>
      </c>
      <c r="B14" s="21" t="s">
        <v>280</v>
      </c>
      <c r="C14" s="28" t="s">
        <v>281</v>
      </c>
      <c r="D14" s="29" t="s">
        <v>283</v>
      </c>
      <c r="E14" s="40" t="s">
        <v>282</v>
      </c>
      <c r="F14" s="22">
        <v>126.2</v>
      </c>
      <c r="G14" s="22">
        <v>75</v>
      </c>
      <c r="H14" s="23">
        <v>126.2</v>
      </c>
      <c r="I14" s="22">
        <f t="shared" si="2"/>
        <v>-51.2</v>
      </c>
      <c r="J14" s="22" t="s">
        <v>24</v>
      </c>
      <c r="K14" s="24"/>
      <c r="L14" s="25"/>
    </row>
    <row r="15" spans="1:12" ht="15.75" x14ac:dyDescent="0.25">
      <c r="A15" s="20" t="s">
        <v>21</v>
      </c>
      <c r="B15" s="21" t="s">
        <v>262</v>
      </c>
      <c r="C15" s="28" t="s">
        <v>263</v>
      </c>
      <c r="D15" s="29" t="s">
        <v>65</v>
      </c>
      <c r="E15" s="40" t="s">
        <v>264</v>
      </c>
      <c r="F15" s="22">
        <v>2000</v>
      </c>
      <c r="G15" s="22">
        <v>9264</v>
      </c>
      <c r="H15" s="23">
        <v>2000</v>
      </c>
      <c r="I15" s="22">
        <f t="shared" si="2"/>
        <v>7264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265</v>
      </c>
      <c r="C16" s="28" t="s">
        <v>15</v>
      </c>
      <c r="D16" s="29" t="s">
        <v>52</v>
      </c>
      <c r="E16" s="40" t="s">
        <v>266</v>
      </c>
      <c r="F16" s="22">
        <v>1500</v>
      </c>
      <c r="G16" s="22">
        <v>22650</v>
      </c>
      <c r="H16" s="23">
        <v>1500</v>
      </c>
      <c r="I16" s="22">
        <f t="shared" si="2"/>
        <v>21150</v>
      </c>
      <c r="J16" s="22" t="s">
        <v>16</v>
      </c>
      <c r="K16" s="24"/>
      <c r="L16" s="25"/>
    </row>
    <row r="17" spans="1:12" ht="15.75" x14ac:dyDescent="0.25">
      <c r="A17" s="20" t="s">
        <v>19</v>
      </c>
      <c r="B17" s="21" t="s">
        <v>278</v>
      </c>
      <c r="C17" s="28" t="s">
        <v>279</v>
      </c>
      <c r="D17" s="29" t="s">
        <v>146</v>
      </c>
      <c r="E17" s="40" t="s">
        <v>55</v>
      </c>
      <c r="F17" s="22">
        <v>4500</v>
      </c>
      <c r="G17" s="22">
        <v>10000</v>
      </c>
      <c r="H17" s="23">
        <v>4500</v>
      </c>
      <c r="I17" s="22">
        <f>G17-H17</f>
        <v>5500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226</v>
      </c>
      <c r="C18" s="28" t="s">
        <v>75</v>
      </c>
      <c r="D18" s="29" t="s">
        <v>18</v>
      </c>
      <c r="E18" s="40" t="s">
        <v>227</v>
      </c>
      <c r="F18" s="22">
        <v>6918</v>
      </c>
      <c r="G18" s="22">
        <v>30000</v>
      </c>
      <c r="H18" s="23">
        <v>29843</v>
      </c>
      <c r="I18" s="22">
        <f>G18-H18</f>
        <v>157</v>
      </c>
      <c r="J18" s="22" t="s">
        <v>16</v>
      </c>
      <c r="K18" s="24"/>
      <c r="L18" s="25"/>
    </row>
    <row r="19" spans="1:12" ht="15.75" x14ac:dyDescent="0.25">
      <c r="A19" s="20" t="s">
        <v>44</v>
      </c>
      <c r="B19" s="21" t="s">
        <v>158</v>
      </c>
      <c r="C19" s="28" t="s">
        <v>15</v>
      </c>
      <c r="D19" s="29" t="s">
        <v>47</v>
      </c>
      <c r="E19" s="40" t="s">
        <v>50</v>
      </c>
      <c r="F19" s="22">
        <v>1000</v>
      </c>
      <c r="G19" s="22">
        <v>50000</v>
      </c>
      <c r="H19" s="23">
        <f>50000+1000</f>
        <v>51000</v>
      </c>
      <c r="I19" s="22">
        <f t="shared" ref="I19" si="3">G19-H19</f>
        <v>-1000</v>
      </c>
      <c r="J19" s="22" t="s">
        <v>23</v>
      </c>
      <c r="K19" s="24"/>
      <c r="L19" s="25"/>
    </row>
    <row r="20" spans="1:12" ht="15.75" x14ac:dyDescent="0.25">
      <c r="A20" s="20" t="s">
        <v>20</v>
      </c>
      <c r="B20" s="21" t="s">
        <v>134</v>
      </c>
      <c r="C20" s="28" t="s">
        <v>75</v>
      </c>
      <c r="D20" s="29" t="s">
        <v>18</v>
      </c>
      <c r="E20" s="40" t="s">
        <v>135</v>
      </c>
      <c r="F20" s="22">
        <v>700</v>
      </c>
      <c r="G20" s="22">
        <v>125000</v>
      </c>
      <c r="H20" s="23">
        <f>71000+700</f>
        <v>71700</v>
      </c>
      <c r="I20" s="22">
        <f t="shared" si="0"/>
        <v>53300</v>
      </c>
      <c r="J20" s="22" t="s">
        <v>16</v>
      </c>
      <c r="K20" s="24"/>
      <c r="L20" s="25"/>
    </row>
    <row r="21" spans="1:12" ht="15.75" x14ac:dyDescent="0.25">
      <c r="A21" s="20" t="s">
        <v>244</v>
      </c>
      <c r="B21" s="21" t="s">
        <v>245</v>
      </c>
      <c r="C21" s="28" t="s">
        <v>246</v>
      </c>
      <c r="D21" s="29" t="s">
        <v>237</v>
      </c>
      <c r="E21" s="40" t="s">
        <v>247</v>
      </c>
      <c r="F21" s="22">
        <v>3030.8</v>
      </c>
      <c r="G21" s="22">
        <v>3000</v>
      </c>
      <c r="H21" s="23">
        <v>3030.8</v>
      </c>
      <c r="I21" s="22">
        <f>G21-H21</f>
        <v>-30.800000000000182</v>
      </c>
      <c r="J21" s="22" t="s">
        <v>24</v>
      </c>
      <c r="K21" s="24"/>
      <c r="L21" s="25"/>
    </row>
    <row r="22" spans="1:12" ht="15.75" x14ac:dyDescent="0.25">
      <c r="A22" s="20" t="s">
        <v>28</v>
      </c>
      <c r="B22" s="21" t="s">
        <v>180</v>
      </c>
      <c r="C22" s="28" t="s">
        <v>15</v>
      </c>
      <c r="D22" s="29" t="s">
        <v>52</v>
      </c>
      <c r="E22" s="40" t="s">
        <v>181</v>
      </c>
      <c r="F22" s="22">
        <f>1675</f>
        <v>1675</v>
      </c>
      <c r="G22" s="22">
        <v>28900</v>
      </c>
      <c r="H22" s="23">
        <v>25750</v>
      </c>
      <c r="I22" s="22">
        <f t="shared" si="0"/>
        <v>3150</v>
      </c>
      <c r="J22" s="22" t="s">
        <v>16</v>
      </c>
      <c r="K22" s="24"/>
      <c r="L22" s="25"/>
    </row>
    <row r="23" spans="1:12" ht="15.75" x14ac:dyDescent="0.25">
      <c r="A23" s="20" t="s">
        <v>19</v>
      </c>
      <c r="B23" s="21" t="s">
        <v>192</v>
      </c>
      <c r="C23" s="28" t="s">
        <v>34</v>
      </c>
      <c r="D23" s="29" t="s">
        <v>18</v>
      </c>
      <c r="E23" s="40" t="s">
        <v>193</v>
      </c>
      <c r="F23" s="22">
        <v>53520</v>
      </c>
      <c r="G23" s="22">
        <v>200000</v>
      </c>
      <c r="H23" s="23">
        <v>181520</v>
      </c>
      <c r="I23" s="22">
        <f t="shared" si="0"/>
        <v>18480</v>
      </c>
      <c r="J23" s="22" t="s">
        <v>16</v>
      </c>
      <c r="K23" s="24"/>
      <c r="L23" s="25"/>
    </row>
    <row r="24" spans="1:12" ht="16.5" thickBot="1" x14ac:dyDescent="0.3">
      <c r="A24" s="30"/>
      <c r="B24" s="31"/>
      <c r="C24" s="32"/>
      <c r="D24" s="33"/>
      <c r="E24" s="41"/>
      <c r="F24" s="34"/>
      <c r="G24" s="34"/>
      <c r="H24" s="35"/>
      <c r="I24" s="34"/>
      <c r="J24" s="34" t="s">
        <v>64</v>
      </c>
      <c r="K24" s="36"/>
      <c r="L24" s="3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429B-5746-431E-9F3D-5DE1FADE5D33}">
  <dimension ref="A2:L35"/>
  <sheetViews>
    <sheetView topLeftCell="A7" workbookViewId="0">
      <pane xSplit="3" topLeftCell="E1" activePane="topRight" state="frozen"/>
      <selection pane="topRight" activeCell="A19" sqref="A19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248</v>
      </c>
      <c r="C4" s="26" t="s">
        <v>249</v>
      </c>
      <c r="D4" s="27" t="s">
        <v>250</v>
      </c>
      <c r="E4" s="39" t="s">
        <v>251</v>
      </c>
      <c r="F4" s="16">
        <v>5450</v>
      </c>
      <c r="G4" s="16">
        <v>5000</v>
      </c>
      <c r="H4" s="17">
        <v>5450</v>
      </c>
      <c r="I4" s="16">
        <f t="shared" ref="I4:I34" si="0">G4-H4</f>
        <v>-450</v>
      </c>
      <c r="J4" s="16" t="s">
        <v>23</v>
      </c>
      <c r="K4" s="18"/>
      <c r="L4" s="19"/>
    </row>
    <row r="5" spans="1:12" ht="15.75" x14ac:dyDescent="0.25">
      <c r="A5" s="20" t="s">
        <v>40</v>
      </c>
      <c r="B5" s="21" t="s">
        <v>149</v>
      </c>
      <c r="C5" s="28" t="s">
        <v>62</v>
      </c>
      <c r="D5" s="29" t="s">
        <v>54</v>
      </c>
      <c r="E5" s="40" t="s">
        <v>59</v>
      </c>
      <c r="F5" s="22">
        <v>14000</v>
      </c>
      <c r="G5" s="22">
        <v>500000</v>
      </c>
      <c r="H5" s="23">
        <f>161000+48000+14000</f>
        <v>223000</v>
      </c>
      <c r="I5" s="22">
        <f t="shared" si="0"/>
        <v>277000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209</v>
      </c>
      <c r="C6" s="28" t="s">
        <v>210</v>
      </c>
      <c r="D6" s="29" t="s">
        <v>211</v>
      </c>
      <c r="E6" s="40" t="s">
        <v>212</v>
      </c>
      <c r="F6" s="22">
        <f>174.6+91.4</f>
        <v>266</v>
      </c>
      <c r="G6" s="22">
        <v>3000</v>
      </c>
      <c r="H6" s="23">
        <f>612.3+235.1+149.7+266</f>
        <v>1263.0999999999999</v>
      </c>
      <c r="I6" s="22">
        <f>G6-H6</f>
        <v>1736.9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252</v>
      </c>
      <c r="C7" s="28" t="s">
        <v>253</v>
      </c>
      <c r="D7" s="29" t="s">
        <v>18</v>
      </c>
      <c r="E7" s="40" t="s">
        <v>254</v>
      </c>
      <c r="F7" s="22">
        <v>9470</v>
      </c>
      <c r="G7" s="22">
        <v>10000</v>
      </c>
      <c r="H7" s="23">
        <v>9470</v>
      </c>
      <c r="I7" s="22">
        <f>G7-H7</f>
        <v>530</v>
      </c>
      <c r="J7" s="22" t="s">
        <v>31</v>
      </c>
      <c r="K7" s="24"/>
      <c r="L7" s="25"/>
    </row>
    <row r="8" spans="1:12" ht="15.75" x14ac:dyDescent="0.25">
      <c r="A8" s="20" t="s">
        <v>19</v>
      </c>
      <c r="B8" s="21" t="s">
        <v>284</v>
      </c>
      <c r="C8" s="28" t="s">
        <v>253</v>
      </c>
      <c r="D8" s="29" t="s">
        <v>18</v>
      </c>
      <c r="E8" s="40" t="s">
        <v>285</v>
      </c>
      <c r="F8" s="22">
        <v>6000</v>
      </c>
      <c r="G8" s="22">
        <v>10000</v>
      </c>
      <c r="H8" s="23">
        <v>6000</v>
      </c>
      <c r="I8" s="22">
        <f>G8-H8</f>
        <v>4000</v>
      </c>
      <c r="J8" s="22" t="s">
        <v>16</v>
      </c>
      <c r="K8" s="24"/>
      <c r="L8" s="25"/>
    </row>
    <row r="9" spans="1:12" ht="15.75" x14ac:dyDescent="0.25">
      <c r="A9" s="20" t="s">
        <v>20</v>
      </c>
      <c r="B9" s="21" t="s">
        <v>255</v>
      </c>
      <c r="C9" s="28" t="s">
        <v>256</v>
      </c>
      <c r="D9" s="29" t="s">
        <v>42</v>
      </c>
      <c r="E9" s="40" t="s">
        <v>257</v>
      </c>
      <c r="F9" s="22">
        <v>5000</v>
      </c>
      <c r="G9" s="22">
        <v>5000</v>
      </c>
      <c r="H9" s="23">
        <v>5000</v>
      </c>
      <c r="I9" s="22">
        <f t="shared" si="0"/>
        <v>0</v>
      </c>
      <c r="J9" s="22" t="s">
        <v>23</v>
      </c>
      <c r="K9" s="24"/>
      <c r="L9" s="25"/>
    </row>
    <row r="10" spans="1:12" ht="15.75" x14ac:dyDescent="0.25">
      <c r="A10" s="20" t="s">
        <v>17</v>
      </c>
      <c r="B10" s="21" t="s">
        <v>97</v>
      </c>
      <c r="C10" s="28" t="s">
        <v>98</v>
      </c>
      <c r="D10" s="29" t="s">
        <v>18</v>
      </c>
      <c r="E10" s="40" t="s">
        <v>99</v>
      </c>
      <c r="F10" s="22">
        <f>3000+839</f>
        <v>3839</v>
      </c>
      <c r="G10" s="22">
        <v>47500</v>
      </c>
      <c r="H10" s="23">
        <f>3050+4250+6200+3250+2950+10450+1400+3000+3839</f>
        <v>38389</v>
      </c>
      <c r="I10" s="22">
        <f t="shared" si="0"/>
        <v>9111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286</v>
      </c>
      <c r="C11" s="28" t="s">
        <v>287</v>
      </c>
      <c r="D11" s="29" t="s">
        <v>288</v>
      </c>
      <c r="E11" s="40" t="s">
        <v>289</v>
      </c>
      <c r="F11" s="22">
        <v>18000</v>
      </c>
      <c r="G11" s="22">
        <v>50000</v>
      </c>
      <c r="H11" s="23">
        <v>18000</v>
      </c>
      <c r="I11" s="22">
        <f>G11-H11</f>
        <v>32000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198</v>
      </c>
      <c r="C12" s="28" t="s">
        <v>199</v>
      </c>
      <c r="D12" s="29" t="s">
        <v>18</v>
      </c>
      <c r="E12" s="40" t="s">
        <v>200</v>
      </c>
      <c r="F12" s="22">
        <v>10000</v>
      </c>
      <c r="G12" s="22">
        <v>15000</v>
      </c>
      <c r="H12" s="23">
        <f>6445+10000</f>
        <v>16445</v>
      </c>
      <c r="I12" s="22">
        <f t="shared" si="0"/>
        <v>-1445</v>
      </c>
      <c r="J12" s="22" t="s">
        <v>24</v>
      </c>
      <c r="K12" s="24"/>
      <c r="L12" s="25"/>
    </row>
    <row r="13" spans="1:12" ht="15.75" x14ac:dyDescent="0.25">
      <c r="A13" s="20" t="s">
        <v>44</v>
      </c>
      <c r="B13" s="21" t="s">
        <v>258</v>
      </c>
      <c r="C13" s="28" t="s">
        <v>259</v>
      </c>
      <c r="D13" s="29" t="s">
        <v>260</v>
      </c>
      <c r="E13" s="40" t="s">
        <v>261</v>
      </c>
      <c r="F13" s="22">
        <v>6250</v>
      </c>
      <c r="G13" s="22">
        <v>10000</v>
      </c>
      <c r="H13" s="23">
        <v>6250</v>
      </c>
      <c r="I13" s="22">
        <f t="shared" si="0"/>
        <v>3750</v>
      </c>
      <c r="J13" s="22" t="s">
        <v>16</v>
      </c>
      <c r="K13" s="24"/>
      <c r="L13" s="25"/>
    </row>
    <row r="14" spans="1:12" ht="15.75" x14ac:dyDescent="0.25">
      <c r="A14" s="20" t="s">
        <v>20</v>
      </c>
      <c r="B14" s="21" t="s">
        <v>262</v>
      </c>
      <c r="C14" s="28" t="s">
        <v>263</v>
      </c>
      <c r="D14" s="29" t="s">
        <v>65</v>
      </c>
      <c r="E14" s="40" t="s">
        <v>264</v>
      </c>
      <c r="F14" s="22">
        <v>8750</v>
      </c>
      <c r="G14" s="22">
        <v>9264</v>
      </c>
      <c r="H14" s="23">
        <v>8750</v>
      </c>
      <c r="I14" s="22">
        <f t="shared" si="0"/>
        <v>514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268</v>
      </c>
      <c r="C15" s="28" t="s">
        <v>269</v>
      </c>
      <c r="D15" s="29" t="s">
        <v>290</v>
      </c>
      <c r="E15" s="40" t="s">
        <v>270</v>
      </c>
      <c r="F15" s="22">
        <v>10850</v>
      </c>
      <c r="G15" s="22">
        <v>10000</v>
      </c>
      <c r="H15" s="23">
        <v>10850</v>
      </c>
      <c r="I15" s="22">
        <f>G15-H15</f>
        <v>-850</v>
      </c>
      <c r="J15" s="22" t="s">
        <v>24</v>
      </c>
      <c r="K15" s="24"/>
      <c r="L15" s="25"/>
    </row>
    <row r="16" spans="1:12" ht="15.75" x14ac:dyDescent="0.25">
      <c r="A16" s="20" t="s">
        <v>19</v>
      </c>
      <c r="B16" s="21" t="s">
        <v>278</v>
      </c>
      <c r="C16" s="28" t="s">
        <v>249</v>
      </c>
      <c r="D16" s="29" t="s">
        <v>146</v>
      </c>
      <c r="E16" s="40" t="s">
        <v>55</v>
      </c>
      <c r="F16" s="22">
        <v>118</v>
      </c>
      <c r="G16" s="22">
        <v>10000</v>
      </c>
      <c r="H16" s="23">
        <v>9450</v>
      </c>
      <c r="I16" s="22">
        <f t="shared" si="0"/>
        <v>550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229</v>
      </c>
      <c r="C17" s="28" t="s">
        <v>15</v>
      </c>
      <c r="D17" s="29" t="s">
        <v>18</v>
      </c>
      <c r="E17" s="40" t="s">
        <v>230</v>
      </c>
      <c r="F17" s="22">
        <f>32000+14000</f>
        <v>46000</v>
      </c>
      <c r="G17" s="22">
        <v>200000</v>
      </c>
      <c r="H17" s="23">
        <v>64000</v>
      </c>
      <c r="I17" s="22">
        <f t="shared" si="0"/>
        <v>136000</v>
      </c>
      <c r="J17" s="22" t="s">
        <v>16</v>
      </c>
      <c r="K17" s="24"/>
      <c r="L17" s="25"/>
    </row>
    <row r="18" spans="1:12" ht="15.75" x14ac:dyDescent="0.25">
      <c r="A18" s="20" t="s">
        <v>19</v>
      </c>
      <c r="B18" s="21" t="s">
        <v>140</v>
      </c>
      <c r="C18" s="28" t="s">
        <v>273</v>
      </c>
      <c r="D18" s="29" t="s">
        <v>18</v>
      </c>
      <c r="E18" s="40" t="s">
        <v>274</v>
      </c>
      <c r="F18" s="22">
        <v>12469</v>
      </c>
      <c r="G18" s="22">
        <v>200000</v>
      </c>
      <c r="H18" s="23">
        <v>127469</v>
      </c>
      <c r="I18" s="22">
        <f t="shared" si="0"/>
        <v>72531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275</v>
      </c>
      <c r="C19" s="28" t="s">
        <v>70</v>
      </c>
      <c r="D19" s="29" t="s">
        <v>71</v>
      </c>
      <c r="E19" s="40" t="s">
        <v>222</v>
      </c>
      <c r="F19" s="22">
        <v>1370</v>
      </c>
      <c r="G19" s="22">
        <v>100000</v>
      </c>
      <c r="H19" s="23">
        <v>1370</v>
      </c>
      <c r="I19" s="22">
        <f t="shared" si="0"/>
        <v>98630</v>
      </c>
      <c r="J19" s="22" t="s">
        <v>16</v>
      </c>
      <c r="K19" s="24"/>
      <c r="L19" s="25"/>
    </row>
    <row r="20" spans="1:12" ht="15.75" x14ac:dyDescent="0.25">
      <c r="A20" s="20" t="s">
        <v>20</v>
      </c>
      <c r="B20" s="21" t="s">
        <v>276</v>
      </c>
      <c r="C20" s="28" t="s">
        <v>277</v>
      </c>
      <c r="D20" s="29" t="s">
        <v>42</v>
      </c>
      <c r="E20" s="40" t="s">
        <v>74</v>
      </c>
      <c r="F20" s="22">
        <v>230</v>
      </c>
      <c r="G20" s="22">
        <v>10000</v>
      </c>
      <c r="H20" s="23">
        <v>230</v>
      </c>
      <c r="I20" s="22">
        <f t="shared" si="0"/>
        <v>9770</v>
      </c>
      <c r="J20" s="22" t="s">
        <v>16</v>
      </c>
      <c r="K20" s="24"/>
      <c r="L20" s="25"/>
    </row>
    <row r="21" spans="1:12" ht="15.75" x14ac:dyDescent="0.25">
      <c r="A21" s="20" t="s">
        <v>244</v>
      </c>
      <c r="B21" s="21" t="s">
        <v>309</v>
      </c>
      <c r="C21" s="28" t="s">
        <v>296</v>
      </c>
      <c r="D21" s="29" t="s">
        <v>35</v>
      </c>
      <c r="E21" s="40" t="s">
        <v>310</v>
      </c>
      <c r="F21" s="22">
        <v>11</v>
      </c>
      <c r="G21" s="22">
        <v>30</v>
      </c>
      <c r="H21" s="23">
        <v>11</v>
      </c>
      <c r="I21" s="22">
        <f t="shared" si="0"/>
        <v>19</v>
      </c>
      <c r="J21" s="22" t="s">
        <v>16</v>
      </c>
      <c r="K21" s="24"/>
      <c r="L21" s="25"/>
    </row>
    <row r="22" spans="1:12" ht="15.75" x14ac:dyDescent="0.25">
      <c r="A22" s="20" t="s">
        <v>244</v>
      </c>
      <c r="B22" s="21" t="s">
        <v>295</v>
      </c>
      <c r="C22" s="28" t="s">
        <v>296</v>
      </c>
      <c r="D22" s="29" t="s">
        <v>35</v>
      </c>
      <c r="E22" s="40" t="s">
        <v>297</v>
      </c>
      <c r="F22" s="22">
        <v>30</v>
      </c>
      <c r="G22" s="22">
        <v>30</v>
      </c>
      <c r="H22" s="23">
        <v>30</v>
      </c>
      <c r="I22" s="22">
        <f t="shared" ref="I22" si="1">G22-H22</f>
        <v>0</v>
      </c>
      <c r="J22" s="22" t="s">
        <v>23</v>
      </c>
      <c r="K22" s="24"/>
      <c r="L22" s="25"/>
    </row>
    <row r="23" spans="1:12" ht="15.75" x14ac:dyDescent="0.25">
      <c r="A23" s="20" t="s">
        <v>244</v>
      </c>
      <c r="B23" s="21" t="s">
        <v>298</v>
      </c>
      <c r="C23" s="28" t="s">
        <v>299</v>
      </c>
      <c r="D23" s="29" t="s">
        <v>35</v>
      </c>
      <c r="E23" s="40" t="s">
        <v>300</v>
      </c>
      <c r="F23" s="22">
        <v>105</v>
      </c>
      <c r="G23" s="22">
        <v>100</v>
      </c>
      <c r="H23" s="23">
        <v>105</v>
      </c>
      <c r="I23" s="22">
        <f t="shared" si="0"/>
        <v>-5</v>
      </c>
      <c r="J23" s="22" t="s">
        <v>23</v>
      </c>
      <c r="K23" s="24"/>
      <c r="L23" s="25"/>
    </row>
    <row r="24" spans="1:12" ht="15.75" x14ac:dyDescent="0.25">
      <c r="A24" s="20" t="s">
        <v>244</v>
      </c>
      <c r="B24" s="21" t="s">
        <v>301</v>
      </c>
      <c r="C24" s="28" t="s">
        <v>299</v>
      </c>
      <c r="D24" s="29" t="s">
        <v>35</v>
      </c>
      <c r="E24" s="40" t="s">
        <v>302</v>
      </c>
      <c r="F24" s="22">
        <v>102.2</v>
      </c>
      <c r="G24" s="22">
        <v>100</v>
      </c>
      <c r="H24" s="23">
        <v>102.2</v>
      </c>
      <c r="I24" s="22">
        <f t="shared" si="0"/>
        <v>-2.2000000000000028</v>
      </c>
      <c r="J24" s="22" t="s">
        <v>23</v>
      </c>
      <c r="K24" s="24"/>
      <c r="L24" s="25"/>
    </row>
    <row r="25" spans="1:12" ht="15.75" x14ac:dyDescent="0.25">
      <c r="A25" s="20" t="s">
        <v>244</v>
      </c>
      <c r="B25" s="21" t="s">
        <v>301</v>
      </c>
      <c r="C25" s="28" t="s">
        <v>299</v>
      </c>
      <c r="D25" s="29" t="s">
        <v>35</v>
      </c>
      <c r="E25" s="40" t="s">
        <v>303</v>
      </c>
      <c r="F25" s="22">
        <v>60</v>
      </c>
      <c r="G25" s="22">
        <v>50</v>
      </c>
      <c r="H25" s="23">
        <v>60</v>
      </c>
      <c r="I25" s="22">
        <f t="shared" si="0"/>
        <v>-10</v>
      </c>
      <c r="J25" s="22" t="s">
        <v>24</v>
      </c>
      <c r="K25" s="24"/>
      <c r="L25" s="25"/>
    </row>
    <row r="26" spans="1:12" ht="15.75" x14ac:dyDescent="0.25">
      <c r="A26" s="20" t="s">
        <v>244</v>
      </c>
      <c r="B26" s="21" t="s">
        <v>304</v>
      </c>
      <c r="C26" s="28" t="s">
        <v>299</v>
      </c>
      <c r="D26" s="29" t="s">
        <v>35</v>
      </c>
      <c r="E26" s="40" t="s">
        <v>305</v>
      </c>
      <c r="F26" s="22">
        <v>108.3</v>
      </c>
      <c r="G26" s="22">
        <v>100</v>
      </c>
      <c r="H26" s="23">
        <v>108.3</v>
      </c>
      <c r="I26" s="22">
        <f t="shared" si="0"/>
        <v>-8.2999999999999972</v>
      </c>
      <c r="J26" s="22" t="s">
        <v>24</v>
      </c>
      <c r="K26" s="24"/>
      <c r="L26" s="25"/>
    </row>
    <row r="27" spans="1:12" ht="15.75" x14ac:dyDescent="0.25">
      <c r="A27" s="20" t="s">
        <v>244</v>
      </c>
      <c r="B27" s="21" t="s">
        <v>306</v>
      </c>
      <c r="C27" s="28" t="s">
        <v>299</v>
      </c>
      <c r="D27" s="29" t="s">
        <v>35</v>
      </c>
      <c r="E27" s="40" t="s">
        <v>305</v>
      </c>
      <c r="F27" s="22">
        <v>43</v>
      </c>
      <c r="G27" s="22">
        <v>50</v>
      </c>
      <c r="H27" s="23">
        <v>43</v>
      </c>
      <c r="I27" s="22">
        <f t="shared" si="0"/>
        <v>7</v>
      </c>
      <c r="J27" s="22" t="s">
        <v>31</v>
      </c>
      <c r="K27" s="24"/>
      <c r="L27" s="25"/>
    </row>
    <row r="28" spans="1:12" ht="15.75" x14ac:dyDescent="0.25">
      <c r="A28" s="20" t="s">
        <v>244</v>
      </c>
      <c r="B28" s="21" t="s">
        <v>307</v>
      </c>
      <c r="C28" s="28" t="s">
        <v>299</v>
      </c>
      <c r="D28" s="29" t="s">
        <v>35</v>
      </c>
      <c r="E28" s="40" t="s">
        <v>308</v>
      </c>
      <c r="F28" s="22">
        <v>52.3</v>
      </c>
      <c r="G28" s="22">
        <v>50</v>
      </c>
      <c r="H28" s="23">
        <v>52.3</v>
      </c>
      <c r="I28" s="22">
        <f t="shared" si="0"/>
        <v>-2.2999999999999972</v>
      </c>
      <c r="J28" s="22" t="s">
        <v>23</v>
      </c>
      <c r="K28" s="24"/>
      <c r="L28" s="25"/>
    </row>
    <row r="29" spans="1:12" ht="15.75" x14ac:dyDescent="0.25">
      <c r="A29" s="20" t="s">
        <v>22</v>
      </c>
      <c r="B29" s="21" t="s">
        <v>291</v>
      </c>
      <c r="C29" s="28" t="s">
        <v>292</v>
      </c>
      <c r="D29" s="29" t="s">
        <v>293</v>
      </c>
      <c r="E29" s="40" t="s">
        <v>294</v>
      </c>
      <c r="F29" s="22">
        <v>8.3000000000000007</v>
      </c>
      <c r="G29" s="22">
        <v>8.6</v>
      </c>
      <c r="H29" s="23">
        <v>8.3000000000000007</v>
      </c>
      <c r="I29" s="22">
        <f t="shared" si="0"/>
        <v>0.29999999999999893</v>
      </c>
      <c r="J29" s="22" t="s">
        <v>23</v>
      </c>
      <c r="K29" s="24"/>
      <c r="L29" s="25"/>
    </row>
    <row r="30" spans="1:12" ht="16.5" customHeight="1" x14ac:dyDescent="0.25">
      <c r="A30" s="20" t="s">
        <v>22</v>
      </c>
      <c r="B30" s="21" t="s">
        <v>280</v>
      </c>
      <c r="C30" s="28" t="s">
        <v>281</v>
      </c>
      <c r="D30" s="29" t="s">
        <v>283</v>
      </c>
      <c r="E30" s="40" t="s">
        <v>282</v>
      </c>
      <c r="F30" s="22">
        <v>18.399999999999999</v>
      </c>
      <c r="G30" s="22">
        <v>75</v>
      </c>
      <c r="H30" s="23">
        <f>126.2+18.4</f>
        <v>144.6</v>
      </c>
      <c r="I30" s="22">
        <f t="shared" si="0"/>
        <v>-69.599999999999994</v>
      </c>
      <c r="J30" s="22" t="s">
        <v>24</v>
      </c>
      <c r="K30" s="24"/>
      <c r="L30" s="25"/>
    </row>
    <row r="31" spans="1:12" ht="15.75" x14ac:dyDescent="0.25">
      <c r="A31" s="20" t="s">
        <v>17</v>
      </c>
      <c r="B31" s="21" t="s">
        <v>271</v>
      </c>
      <c r="C31" s="28" t="s">
        <v>196</v>
      </c>
      <c r="D31" s="29" t="s">
        <v>18</v>
      </c>
      <c r="E31" s="40" t="s">
        <v>272</v>
      </c>
      <c r="F31" s="22">
        <v>2600</v>
      </c>
      <c r="G31" s="22">
        <v>5000</v>
      </c>
      <c r="H31" s="23">
        <v>2600</v>
      </c>
      <c r="I31" s="22">
        <f>G31-H31</f>
        <v>2400</v>
      </c>
      <c r="J31" s="22" t="s">
        <v>16</v>
      </c>
      <c r="K31" s="24"/>
      <c r="L31" s="25"/>
    </row>
    <row r="32" spans="1:12" ht="15.75" x14ac:dyDescent="0.25">
      <c r="A32" s="20" t="s">
        <v>14</v>
      </c>
      <c r="B32" s="21" t="s">
        <v>268</v>
      </c>
      <c r="C32" s="28" t="s">
        <v>269</v>
      </c>
      <c r="D32" s="29" t="s">
        <v>42</v>
      </c>
      <c r="E32" s="40" t="s">
        <v>270</v>
      </c>
      <c r="F32" s="22">
        <v>9600</v>
      </c>
      <c r="G32" s="22">
        <v>10000</v>
      </c>
      <c r="H32" s="23">
        <v>9600</v>
      </c>
      <c r="I32" s="22">
        <f>G32-H32</f>
        <v>400</v>
      </c>
      <c r="J32" s="22" t="s">
        <v>16</v>
      </c>
      <c r="K32" s="24"/>
      <c r="L32" s="25"/>
    </row>
    <row r="33" spans="1:12" ht="15.75" x14ac:dyDescent="0.25">
      <c r="A33" s="20" t="s">
        <v>228</v>
      </c>
      <c r="B33" s="21" t="s">
        <v>267</v>
      </c>
      <c r="C33" s="28" t="s">
        <v>15</v>
      </c>
      <c r="D33" s="29" t="s">
        <v>27</v>
      </c>
      <c r="E33" s="40" t="s">
        <v>162</v>
      </c>
      <c r="F33" s="22">
        <v>44000</v>
      </c>
      <c r="G33" s="22">
        <v>200000</v>
      </c>
      <c r="H33" s="23">
        <v>44000</v>
      </c>
      <c r="I33" s="22">
        <f t="shared" si="0"/>
        <v>156000</v>
      </c>
      <c r="J33" s="22" t="s">
        <v>16</v>
      </c>
      <c r="K33" s="24"/>
      <c r="L33" s="25"/>
    </row>
    <row r="34" spans="1:12" ht="15.75" x14ac:dyDescent="0.25">
      <c r="A34" s="20" t="s">
        <v>28</v>
      </c>
      <c r="B34" s="21" t="s">
        <v>265</v>
      </c>
      <c r="C34" s="28" t="s">
        <v>15</v>
      </c>
      <c r="D34" s="29" t="s">
        <v>18</v>
      </c>
      <c r="E34" s="40" t="s">
        <v>266</v>
      </c>
      <c r="F34" s="22">
        <v>500</v>
      </c>
      <c r="G34" s="22">
        <v>50000</v>
      </c>
      <c r="H34" s="23">
        <v>500</v>
      </c>
      <c r="I34" s="22">
        <f t="shared" si="0"/>
        <v>49500</v>
      </c>
      <c r="J34" s="22" t="s">
        <v>16</v>
      </c>
      <c r="K34" s="24"/>
      <c r="L34" s="25"/>
    </row>
    <row r="35" spans="1:12" ht="16.5" thickBot="1" x14ac:dyDescent="0.3">
      <c r="A35" s="30"/>
      <c r="B35" s="31"/>
      <c r="C35" s="32"/>
      <c r="D35" s="33"/>
      <c r="E35" s="41"/>
      <c r="F35" s="34"/>
      <c r="G35" s="34"/>
      <c r="H35" s="35"/>
      <c r="I35" s="34"/>
      <c r="J35" s="34" t="s">
        <v>64</v>
      </c>
      <c r="K35" s="36"/>
      <c r="L35" s="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24"/>
  <sheetViews>
    <sheetView workbookViewId="0">
      <pane xSplit="3" topLeftCell="E1" activePane="topRight" state="frozen"/>
      <selection pane="topRight" activeCell="H13" sqref="H13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30</v>
      </c>
      <c r="B4" s="15" t="s">
        <v>312</v>
      </c>
      <c r="C4" s="26" t="s">
        <v>36</v>
      </c>
      <c r="D4" s="27" t="s">
        <v>37</v>
      </c>
      <c r="E4" s="39" t="s">
        <v>313</v>
      </c>
      <c r="F4" s="16">
        <v>12000</v>
      </c>
      <c r="G4" s="16">
        <v>24000</v>
      </c>
      <c r="H4" s="17">
        <v>12000</v>
      </c>
      <c r="I4" s="16">
        <f t="shared" ref="I4:I23" si="0">G4-H4</f>
        <v>12000</v>
      </c>
      <c r="J4" s="16" t="s">
        <v>16</v>
      </c>
      <c r="K4" s="18"/>
      <c r="L4" s="19"/>
    </row>
    <row r="5" spans="1:12" ht="15.75" x14ac:dyDescent="0.25">
      <c r="A5" s="20" t="s">
        <v>40</v>
      </c>
      <c r="B5" s="21" t="s">
        <v>149</v>
      </c>
      <c r="C5" s="28" t="s">
        <v>62</v>
      </c>
      <c r="D5" s="29" t="s">
        <v>54</v>
      </c>
      <c r="E5" s="40" t="s">
        <v>59</v>
      </c>
      <c r="F5" s="22">
        <v>9000</v>
      </c>
      <c r="G5" s="22">
        <v>500000</v>
      </c>
      <c r="H5" s="23">
        <f>161000+48000+14000+9000</f>
        <v>232000</v>
      </c>
      <c r="I5" s="22">
        <f t="shared" si="0"/>
        <v>268000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209</v>
      </c>
      <c r="C6" s="28" t="s">
        <v>210</v>
      </c>
      <c r="D6" s="29" t="s">
        <v>211</v>
      </c>
      <c r="E6" s="40" t="s">
        <v>212</v>
      </c>
      <c r="F6" s="22">
        <v>516.5</v>
      </c>
      <c r="G6" s="22">
        <v>3000</v>
      </c>
      <c r="H6" s="23">
        <f>612.3+235.1+149.7+266+516.5</f>
        <v>1779.6</v>
      </c>
      <c r="I6" s="22">
        <f>G6-H6</f>
        <v>1220.4000000000001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316</v>
      </c>
      <c r="C7" s="28" t="s">
        <v>15</v>
      </c>
      <c r="D7" s="29" t="s">
        <v>18</v>
      </c>
      <c r="E7" s="40" t="s">
        <v>317</v>
      </c>
      <c r="F7" s="22">
        <f>5710+0</f>
        <v>5710</v>
      </c>
      <c r="G7" s="22">
        <v>6000</v>
      </c>
      <c r="H7" s="23">
        <v>5710</v>
      </c>
      <c r="I7" s="22">
        <f>G7-H7</f>
        <v>290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134</v>
      </c>
      <c r="C8" s="28" t="s">
        <v>75</v>
      </c>
      <c r="D8" s="29" t="s">
        <v>18</v>
      </c>
      <c r="E8" s="40" t="s">
        <v>135</v>
      </c>
      <c r="F8" s="22">
        <f>16000+3500</f>
        <v>19500</v>
      </c>
      <c r="G8" s="22">
        <v>125000</v>
      </c>
      <c r="H8" s="23">
        <v>75200</v>
      </c>
      <c r="I8" s="22">
        <f>G8-H8</f>
        <v>49800</v>
      </c>
      <c r="J8" s="22" t="s">
        <v>16</v>
      </c>
      <c r="K8" s="24"/>
      <c r="L8" s="25"/>
    </row>
    <row r="9" spans="1:12" ht="15.75" x14ac:dyDescent="0.25">
      <c r="A9" s="20" t="s">
        <v>20</v>
      </c>
      <c r="B9" s="21" t="s">
        <v>311</v>
      </c>
      <c r="C9" s="28" t="s">
        <v>256</v>
      </c>
      <c r="D9" s="29" t="s">
        <v>42</v>
      </c>
      <c r="E9" s="40" t="s">
        <v>257</v>
      </c>
      <c r="F9" s="22">
        <v>5180</v>
      </c>
      <c r="G9" s="22">
        <v>5000</v>
      </c>
      <c r="H9" s="23">
        <v>5180</v>
      </c>
      <c r="I9" s="22">
        <f t="shared" si="0"/>
        <v>-180</v>
      </c>
      <c r="J9" s="22" t="s">
        <v>24</v>
      </c>
      <c r="K9" s="24"/>
      <c r="L9" s="25"/>
    </row>
    <row r="10" spans="1:12" ht="15.75" x14ac:dyDescent="0.25">
      <c r="A10" s="20" t="s">
        <v>21</v>
      </c>
      <c r="B10" s="21" t="s">
        <v>318</v>
      </c>
      <c r="C10" s="28" t="s">
        <v>319</v>
      </c>
      <c r="D10" s="29" t="s">
        <v>18</v>
      </c>
      <c r="E10" s="40" t="s">
        <v>320</v>
      </c>
      <c r="F10" s="22">
        <v>18000</v>
      </c>
      <c r="G10" s="22">
        <v>38000</v>
      </c>
      <c r="H10" s="23">
        <v>18000</v>
      </c>
      <c r="I10" s="22">
        <f t="shared" si="0"/>
        <v>20000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286</v>
      </c>
      <c r="C11" s="28" t="s">
        <v>287</v>
      </c>
      <c r="D11" s="29" t="s">
        <v>288</v>
      </c>
      <c r="E11" s="40" t="s">
        <v>289</v>
      </c>
      <c r="F11" s="22">
        <v>15408</v>
      </c>
      <c r="G11" s="22">
        <v>50000</v>
      </c>
      <c r="H11" s="23">
        <f>18000+15408</f>
        <v>33408</v>
      </c>
      <c r="I11" s="22">
        <f>G11-H11</f>
        <v>16592</v>
      </c>
      <c r="J11" s="22" t="s">
        <v>16</v>
      </c>
      <c r="K11" s="24"/>
      <c r="L11" s="25"/>
    </row>
    <row r="12" spans="1:12" ht="15.75" x14ac:dyDescent="0.25">
      <c r="A12" s="20" t="s">
        <v>231</v>
      </c>
      <c r="B12" s="21" t="s">
        <v>232</v>
      </c>
      <c r="C12" s="28" t="s">
        <v>154</v>
      </c>
      <c r="D12" s="29" t="s">
        <v>35</v>
      </c>
      <c r="E12" s="40" t="s">
        <v>46</v>
      </c>
      <c r="F12" s="22">
        <v>863.9</v>
      </c>
      <c r="G12" s="22">
        <v>1000</v>
      </c>
      <c r="H12" s="23">
        <f>251+863.9</f>
        <v>1114.9000000000001</v>
      </c>
      <c r="I12" s="22">
        <f t="shared" si="0"/>
        <v>-114.90000000000009</v>
      </c>
      <c r="J12" s="22" t="s">
        <v>24</v>
      </c>
      <c r="K12" s="24"/>
      <c r="L12" s="25"/>
    </row>
    <row r="13" spans="1:12" ht="15.75" x14ac:dyDescent="0.25">
      <c r="A13" s="20" t="s">
        <v>244</v>
      </c>
      <c r="B13" s="21" t="s">
        <v>336</v>
      </c>
      <c r="C13" s="28" t="s">
        <v>337</v>
      </c>
      <c r="D13" s="29" t="s">
        <v>35</v>
      </c>
      <c r="E13" s="40" t="s">
        <v>338</v>
      </c>
      <c r="F13" s="22">
        <v>751.1</v>
      </c>
      <c r="G13" s="22">
        <v>1000</v>
      </c>
      <c r="H13" s="23">
        <v>751.1</v>
      </c>
      <c r="I13" s="22">
        <f>G13-H13</f>
        <v>248.89999999999998</v>
      </c>
      <c r="J13" s="22" t="s">
        <v>16</v>
      </c>
      <c r="K13" s="24"/>
      <c r="L13" s="25"/>
    </row>
    <row r="14" spans="1:12" ht="15.75" x14ac:dyDescent="0.25">
      <c r="A14" s="20" t="s">
        <v>25</v>
      </c>
      <c r="B14" s="21" t="s">
        <v>335</v>
      </c>
      <c r="C14" s="28" t="s">
        <v>15</v>
      </c>
      <c r="D14" s="29" t="s">
        <v>283</v>
      </c>
      <c r="E14" s="40" t="s">
        <v>331</v>
      </c>
      <c r="F14" s="22">
        <v>534.6</v>
      </c>
      <c r="G14" s="22">
        <v>500</v>
      </c>
      <c r="H14" s="23">
        <v>534.6</v>
      </c>
      <c r="I14" s="22">
        <f t="shared" ref="I14" si="1">G14-H14</f>
        <v>-34.600000000000023</v>
      </c>
      <c r="J14" s="22" t="s">
        <v>23</v>
      </c>
      <c r="K14" s="24"/>
      <c r="L14" s="25"/>
    </row>
    <row r="15" spans="1:12" ht="15.75" x14ac:dyDescent="0.25">
      <c r="A15" s="20" t="s">
        <v>228</v>
      </c>
      <c r="B15" s="21" t="s">
        <v>229</v>
      </c>
      <c r="C15" s="28" t="s">
        <v>15</v>
      </c>
      <c r="D15" s="29" t="s">
        <v>18</v>
      </c>
      <c r="E15" s="40" t="s">
        <v>230</v>
      </c>
      <c r="F15" s="22">
        <v>28000</v>
      </c>
      <c r="G15" s="22">
        <v>200000</v>
      </c>
      <c r="H15" s="23">
        <f>64000+28000</f>
        <v>92000</v>
      </c>
      <c r="I15" s="22">
        <f t="shared" si="0"/>
        <v>108000</v>
      </c>
      <c r="J15" s="22" t="s">
        <v>16</v>
      </c>
      <c r="K15" s="24"/>
      <c r="L15" s="25"/>
    </row>
    <row r="16" spans="1:12" ht="15.75" x14ac:dyDescent="0.25">
      <c r="A16" s="20" t="s">
        <v>19</v>
      </c>
      <c r="B16" s="21" t="s">
        <v>321</v>
      </c>
      <c r="C16" s="28" t="s">
        <v>15</v>
      </c>
      <c r="D16" s="29" t="s">
        <v>18</v>
      </c>
      <c r="E16" s="40" t="s">
        <v>322</v>
      </c>
      <c r="F16" s="22">
        <v>16100</v>
      </c>
      <c r="G16" s="22">
        <v>50000</v>
      </c>
      <c r="H16" s="23">
        <v>16100</v>
      </c>
      <c r="I16" s="22">
        <f t="shared" si="0"/>
        <v>33900</v>
      </c>
      <c r="J16" s="22" t="s">
        <v>16</v>
      </c>
      <c r="K16" s="24"/>
      <c r="L16" s="25"/>
    </row>
    <row r="17" spans="1:12" ht="15.75" x14ac:dyDescent="0.25">
      <c r="A17" s="20" t="s">
        <v>25</v>
      </c>
      <c r="B17" s="21" t="s">
        <v>332</v>
      </c>
      <c r="C17" s="28" t="s">
        <v>333</v>
      </c>
      <c r="D17" s="29" t="s">
        <v>283</v>
      </c>
      <c r="E17" s="40" t="s">
        <v>334</v>
      </c>
      <c r="F17" s="22">
        <v>1009.5</v>
      </c>
      <c r="G17" s="22">
        <v>1000</v>
      </c>
      <c r="H17" s="23">
        <v>1009.5</v>
      </c>
      <c r="I17" s="22">
        <f t="shared" si="0"/>
        <v>-9.5</v>
      </c>
      <c r="J17" s="22" t="s">
        <v>23</v>
      </c>
      <c r="K17" s="24"/>
      <c r="L17" s="25"/>
    </row>
    <row r="18" spans="1:12" ht="15.75" x14ac:dyDescent="0.25">
      <c r="A18" s="20" t="s">
        <v>19</v>
      </c>
      <c r="B18" s="21" t="s">
        <v>329</v>
      </c>
      <c r="C18" s="28" t="s">
        <v>330</v>
      </c>
      <c r="D18" s="29" t="s">
        <v>35</v>
      </c>
      <c r="E18" s="40" t="s">
        <v>331</v>
      </c>
      <c r="F18" s="22">
        <v>182.1</v>
      </c>
      <c r="G18" s="22">
        <v>200</v>
      </c>
      <c r="H18" s="23">
        <v>182.1</v>
      </c>
      <c r="I18" s="22">
        <f t="shared" si="0"/>
        <v>17.900000000000006</v>
      </c>
      <c r="J18" s="22" t="s">
        <v>16</v>
      </c>
      <c r="K18" s="24"/>
      <c r="L18" s="25"/>
    </row>
    <row r="19" spans="1:12" ht="15.75" x14ac:dyDescent="0.25">
      <c r="A19" s="20" t="s">
        <v>244</v>
      </c>
      <c r="B19" s="21" t="s">
        <v>309</v>
      </c>
      <c r="C19" s="28" t="s">
        <v>296</v>
      </c>
      <c r="D19" s="29" t="s">
        <v>35</v>
      </c>
      <c r="E19" s="40" t="s">
        <v>310</v>
      </c>
      <c r="F19" s="22">
        <v>30</v>
      </c>
      <c r="G19" s="22">
        <v>30</v>
      </c>
      <c r="H19" s="23">
        <v>30</v>
      </c>
      <c r="I19" s="22">
        <f t="shared" si="0"/>
        <v>0</v>
      </c>
      <c r="J19" s="22" t="s">
        <v>16</v>
      </c>
      <c r="K19" s="24"/>
      <c r="L19" s="25"/>
    </row>
    <row r="20" spans="1:12" ht="15.75" x14ac:dyDescent="0.25">
      <c r="A20" s="20" t="s">
        <v>17</v>
      </c>
      <c r="B20" s="21" t="s">
        <v>314</v>
      </c>
      <c r="C20" s="28" t="s">
        <v>196</v>
      </c>
      <c r="D20" s="29" t="s">
        <v>18</v>
      </c>
      <c r="E20" s="40" t="s">
        <v>315</v>
      </c>
      <c r="F20" s="22">
        <f>2800+2150</f>
        <v>4950</v>
      </c>
      <c r="G20" s="22">
        <v>5000</v>
      </c>
      <c r="H20" s="23">
        <v>4950</v>
      </c>
      <c r="I20" s="22">
        <f>G20-H20</f>
        <v>50</v>
      </c>
      <c r="J20" s="22" t="s">
        <v>31</v>
      </c>
      <c r="K20" s="24"/>
      <c r="L20" s="25"/>
    </row>
    <row r="21" spans="1:12" ht="15.75" x14ac:dyDescent="0.25">
      <c r="A21" s="20" t="s">
        <v>20</v>
      </c>
      <c r="B21" s="21" t="s">
        <v>326</v>
      </c>
      <c r="C21" s="28" t="s">
        <v>327</v>
      </c>
      <c r="D21" s="29" t="s">
        <v>18</v>
      </c>
      <c r="E21" s="40" t="s">
        <v>328</v>
      </c>
      <c r="F21" s="22">
        <v>8000</v>
      </c>
      <c r="G21" s="22">
        <v>10000</v>
      </c>
      <c r="H21" s="23">
        <v>8000</v>
      </c>
      <c r="I21" s="22">
        <f>G21-H21</f>
        <v>2000</v>
      </c>
      <c r="J21" s="22" t="s">
        <v>16</v>
      </c>
      <c r="K21" s="24"/>
      <c r="L21" s="25"/>
    </row>
    <row r="22" spans="1:12" ht="15.75" x14ac:dyDescent="0.25">
      <c r="A22" s="20" t="s">
        <v>228</v>
      </c>
      <c r="B22" s="21" t="s">
        <v>267</v>
      </c>
      <c r="C22" s="28" t="s">
        <v>15</v>
      </c>
      <c r="D22" s="29" t="s">
        <v>27</v>
      </c>
      <c r="E22" s="40" t="s">
        <v>162</v>
      </c>
      <c r="F22" s="22">
        <v>57000</v>
      </c>
      <c r="G22" s="22">
        <v>200000</v>
      </c>
      <c r="H22" s="23">
        <f>44000+57000</f>
        <v>101000</v>
      </c>
      <c r="I22" s="22">
        <f t="shared" si="0"/>
        <v>99000</v>
      </c>
      <c r="J22" s="22" t="s">
        <v>16</v>
      </c>
      <c r="K22" s="24"/>
      <c r="L22" s="25"/>
    </row>
    <row r="23" spans="1:12" ht="15.75" x14ac:dyDescent="0.25">
      <c r="A23" s="20" t="s">
        <v>19</v>
      </c>
      <c r="B23" s="21" t="s">
        <v>323</v>
      </c>
      <c r="C23" s="28" t="s">
        <v>324</v>
      </c>
      <c r="D23" s="29" t="s">
        <v>18</v>
      </c>
      <c r="E23" s="40" t="s">
        <v>325</v>
      </c>
      <c r="F23" s="22">
        <v>5000</v>
      </c>
      <c r="G23" s="22">
        <v>5000</v>
      </c>
      <c r="H23" s="23">
        <v>5000</v>
      </c>
      <c r="I23" s="22">
        <f t="shared" si="0"/>
        <v>0</v>
      </c>
      <c r="J23" s="22" t="s">
        <v>23</v>
      </c>
      <c r="K23" s="24"/>
      <c r="L23" s="25"/>
    </row>
    <row r="24" spans="1:12" ht="16.5" thickBot="1" x14ac:dyDescent="0.3">
      <c r="A24" s="30"/>
      <c r="B24" s="31"/>
      <c r="C24" s="32"/>
      <c r="D24" s="33"/>
      <c r="E24" s="41"/>
      <c r="F24" s="34"/>
      <c r="G24" s="34"/>
      <c r="H24" s="35"/>
      <c r="I24" s="34"/>
      <c r="J24" s="34" t="s">
        <v>64</v>
      </c>
      <c r="K24" s="36"/>
      <c r="L24" s="3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25"/>
  <sheetViews>
    <sheetView workbookViewId="0">
      <pane xSplit="3" topLeftCell="E1" activePane="topRight" state="frozen"/>
      <selection pane="topRight" activeCell="H8" sqref="H8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30</v>
      </c>
      <c r="B4" s="15" t="s">
        <v>312</v>
      </c>
      <c r="C4" s="26" t="s">
        <v>36</v>
      </c>
      <c r="D4" s="27" t="s">
        <v>37</v>
      </c>
      <c r="E4" s="39" t="s">
        <v>313</v>
      </c>
      <c r="F4" s="16">
        <v>19250</v>
      </c>
      <c r="G4" s="16">
        <v>24000</v>
      </c>
      <c r="H4" s="17">
        <f>12000+19250</f>
        <v>31250</v>
      </c>
      <c r="I4" s="16">
        <f t="shared" ref="I4:I24" si="0">G4-H4</f>
        <v>-7250</v>
      </c>
      <c r="J4" s="16" t="s">
        <v>24</v>
      </c>
      <c r="K4" s="18"/>
      <c r="L4" s="19"/>
    </row>
    <row r="5" spans="1:12" ht="15.75" x14ac:dyDescent="0.25">
      <c r="A5" s="20" t="s">
        <v>40</v>
      </c>
      <c r="B5" s="21" t="s">
        <v>149</v>
      </c>
      <c r="C5" s="28" t="s">
        <v>62</v>
      </c>
      <c r="D5" s="29" t="s">
        <v>54</v>
      </c>
      <c r="E5" s="40" t="s">
        <v>59</v>
      </c>
      <c r="F5" s="22">
        <v>11000</v>
      </c>
      <c r="G5" s="22">
        <v>500000</v>
      </c>
      <c r="H5" s="23">
        <f>161000+48000+14000+9000+11000</f>
        <v>243000</v>
      </c>
      <c r="I5" s="22">
        <f t="shared" si="0"/>
        <v>257000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209</v>
      </c>
      <c r="C6" s="28" t="s">
        <v>210</v>
      </c>
      <c r="D6" s="29" t="s">
        <v>211</v>
      </c>
      <c r="E6" s="40" t="s">
        <v>212</v>
      </c>
      <c r="F6" s="22">
        <v>183.6</v>
      </c>
      <c r="G6" s="22">
        <v>3000</v>
      </c>
      <c r="H6" s="23">
        <f>612.3+235.1+149.7+266+516.5+183.6</f>
        <v>1963.1999999999998</v>
      </c>
      <c r="I6" s="22">
        <f>G6-H6</f>
        <v>1036.8000000000002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316</v>
      </c>
      <c r="C7" s="28" t="s">
        <v>15</v>
      </c>
      <c r="D7" s="29" t="s">
        <v>18</v>
      </c>
      <c r="E7" s="40" t="s">
        <v>317</v>
      </c>
      <c r="F7" s="22">
        <v>885</v>
      </c>
      <c r="G7" s="22">
        <v>6000</v>
      </c>
      <c r="H7" s="23">
        <f>5710+885</f>
        <v>6595</v>
      </c>
      <c r="I7" s="22">
        <f>G7-H7</f>
        <v>-595</v>
      </c>
      <c r="J7" s="22" t="s">
        <v>24</v>
      </c>
      <c r="K7" s="24"/>
      <c r="L7" s="25"/>
    </row>
    <row r="8" spans="1:12" ht="15.75" x14ac:dyDescent="0.25">
      <c r="A8" s="20" t="s">
        <v>14</v>
      </c>
      <c r="B8" s="21" t="s">
        <v>134</v>
      </c>
      <c r="C8" s="28" t="s">
        <v>75</v>
      </c>
      <c r="D8" s="29" t="s">
        <v>18</v>
      </c>
      <c r="E8" s="40" t="s">
        <v>230</v>
      </c>
      <c r="F8" s="22">
        <v>2600</v>
      </c>
      <c r="G8" s="22">
        <v>200000</v>
      </c>
      <c r="H8" s="23">
        <v>66600</v>
      </c>
      <c r="I8" s="22">
        <f>G8-H8</f>
        <v>133400</v>
      </c>
      <c r="J8" s="22" t="s">
        <v>16</v>
      </c>
      <c r="K8" s="24"/>
      <c r="L8" s="25"/>
    </row>
    <row r="9" spans="1:12" ht="15.75" x14ac:dyDescent="0.25">
      <c r="A9" s="20" t="s">
        <v>28</v>
      </c>
      <c r="B9" s="21" t="s">
        <v>372</v>
      </c>
      <c r="C9" s="28" t="s">
        <v>15</v>
      </c>
      <c r="D9" s="29" t="s">
        <v>18</v>
      </c>
      <c r="E9" s="40" t="s">
        <v>257</v>
      </c>
      <c r="F9" s="22">
        <v>5180</v>
      </c>
      <c r="G9" s="22">
        <v>5000</v>
      </c>
      <c r="H9" s="23">
        <v>5180</v>
      </c>
      <c r="I9" s="22">
        <f t="shared" si="0"/>
        <v>-180</v>
      </c>
      <c r="J9" s="22" t="s">
        <v>24</v>
      </c>
      <c r="K9" s="24"/>
      <c r="L9" s="25"/>
    </row>
    <row r="10" spans="1:12" ht="15.75" x14ac:dyDescent="0.25">
      <c r="A10" s="20" t="s">
        <v>28</v>
      </c>
      <c r="B10" s="21" t="s">
        <v>372</v>
      </c>
      <c r="C10" s="28" t="s">
        <v>373</v>
      </c>
      <c r="D10" s="29" t="s">
        <v>52</v>
      </c>
      <c r="E10" s="40" t="s">
        <v>184</v>
      </c>
      <c r="F10" s="22">
        <v>260.60000000000002</v>
      </c>
      <c r="G10" s="22">
        <v>2000</v>
      </c>
      <c r="H10" s="23">
        <v>260.60000000000002</v>
      </c>
      <c r="I10" s="22">
        <f t="shared" si="0"/>
        <v>1739.4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370</v>
      </c>
      <c r="C11" s="28" t="s">
        <v>15</v>
      </c>
      <c r="D11" s="29" t="s">
        <v>65</v>
      </c>
      <c r="E11" s="40" t="s">
        <v>371</v>
      </c>
      <c r="F11" s="22">
        <v>5200</v>
      </c>
      <c r="G11" s="22">
        <v>5000</v>
      </c>
      <c r="H11" s="23">
        <v>5200</v>
      </c>
      <c r="I11" s="22">
        <f>G11-H11</f>
        <v>-200</v>
      </c>
      <c r="J11" s="22" t="s">
        <v>23</v>
      </c>
      <c r="K11" s="24"/>
      <c r="L11" s="25"/>
    </row>
    <row r="12" spans="1:12" ht="15.75" x14ac:dyDescent="0.25">
      <c r="A12" s="20" t="s">
        <v>17</v>
      </c>
      <c r="B12" s="21" t="s">
        <v>339</v>
      </c>
      <c r="C12" s="28" t="s">
        <v>337</v>
      </c>
      <c r="D12" s="29" t="s">
        <v>18</v>
      </c>
      <c r="E12" s="40" t="s">
        <v>340</v>
      </c>
      <c r="F12" s="22">
        <v>300</v>
      </c>
      <c r="G12" s="22">
        <v>1000</v>
      </c>
      <c r="H12" s="23">
        <v>300</v>
      </c>
      <c r="I12" s="22">
        <f t="shared" si="0"/>
        <v>700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341</v>
      </c>
      <c r="C13" s="28" t="s">
        <v>337</v>
      </c>
      <c r="D13" s="29" t="s">
        <v>18</v>
      </c>
      <c r="E13" s="40" t="s">
        <v>342</v>
      </c>
      <c r="F13" s="22">
        <f>525+425</f>
        <v>950</v>
      </c>
      <c r="G13" s="22">
        <v>1000</v>
      </c>
      <c r="H13" s="23">
        <v>1075</v>
      </c>
      <c r="I13" s="22">
        <f>G13-H13</f>
        <v>-75</v>
      </c>
      <c r="J13" s="22" t="s">
        <v>24</v>
      </c>
      <c r="K13" s="24"/>
      <c r="L13" s="25"/>
    </row>
    <row r="14" spans="1:12" ht="15.75" x14ac:dyDescent="0.25">
      <c r="A14" s="20" t="s">
        <v>19</v>
      </c>
      <c r="B14" s="21" t="s">
        <v>368</v>
      </c>
      <c r="C14" s="28" t="s">
        <v>15</v>
      </c>
      <c r="D14" s="29" t="s">
        <v>77</v>
      </c>
      <c r="E14" s="40" t="s">
        <v>369</v>
      </c>
      <c r="F14" s="22">
        <v>21000</v>
      </c>
      <c r="G14" s="22">
        <v>50000</v>
      </c>
      <c r="H14" s="23">
        <v>21000</v>
      </c>
      <c r="I14" s="22">
        <f t="shared" ref="I14" si="1">G14-H14</f>
        <v>29000</v>
      </c>
      <c r="J14" s="22" t="s">
        <v>16</v>
      </c>
      <c r="K14" s="24"/>
      <c r="L14" s="25"/>
    </row>
    <row r="15" spans="1:12" ht="15.75" x14ac:dyDescent="0.25">
      <c r="A15" s="20" t="s">
        <v>17</v>
      </c>
      <c r="B15" s="21" t="s">
        <v>343</v>
      </c>
      <c r="C15" s="28" t="s">
        <v>15</v>
      </c>
      <c r="D15" s="29" t="s">
        <v>344</v>
      </c>
      <c r="E15" s="40" t="s">
        <v>345</v>
      </c>
      <c r="F15" s="22">
        <v>16000</v>
      </c>
      <c r="G15" s="22">
        <v>50000</v>
      </c>
      <c r="H15" s="23">
        <v>60000</v>
      </c>
      <c r="I15" s="22">
        <f t="shared" si="0"/>
        <v>-10000</v>
      </c>
      <c r="J15" s="22" t="s">
        <v>24</v>
      </c>
      <c r="K15" s="24"/>
      <c r="L15" s="25"/>
    </row>
    <row r="16" spans="1:12" ht="15.75" x14ac:dyDescent="0.25">
      <c r="A16" s="20" t="s">
        <v>20</v>
      </c>
      <c r="B16" s="21" t="s">
        <v>366</v>
      </c>
      <c r="C16" s="28" t="s">
        <v>15</v>
      </c>
      <c r="D16" s="29" t="s">
        <v>18</v>
      </c>
      <c r="E16" s="40" t="s">
        <v>367</v>
      </c>
      <c r="F16" s="22">
        <f>12000+7370</f>
        <v>19370</v>
      </c>
      <c r="G16" s="22">
        <v>20000</v>
      </c>
      <c r="H16" s="23">
        <v>19370</v>
      </c>
      <c r="I16" s="22">
        <f t="shared" si="0"/>
        <v>630</v>
      </c>
      <c r="J16" s="22" t="s">
        <v>31</v>
      </c>
      <c r="K16" s="24"/>
      <c r="L16" s="25"/>
    </row>
    <row r="17" spans="1:12" ht="15.75" x14ac:dyDescent="0.25">
      <c r="A17" s="20" t="s">
        <v>14</v>
      </c>
      <c r="B17" s="21" t="s">
        <v>362</v>
      </c>
      <c r="C17" s="28" t="s">
        <v>363</v>
      </c>
      <c r="D17" s="29" t="s">
        <v>364</v>
      </c>
      <c r="E17" s="40" t="s">
        <v>365</v>
      </c>
      <c r="F17" s="22">
        <v>2000</v>
      </c>
      <c r="G17" s="22">
        <v>15000</v>
      </c>
      <c r="H17" s="23">
        <v>2000</v>
      </c>
      <c r="I17" s="22">
        <f t="shared" si="0"/>
        <v>13000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76</v>
      </c>
      <c r="C18" s="28" t="s">
        <v>330</v>
      </c>
      <c r="D18" s="29" t="s">
        <v>293</v>
      </c>
      <c r="E18" s="40" t="s">
        <v>46</v>
      </c>
      <c r="F18" s="22">
        <v>40.5</v>
      </c>
      <c r="G18" s="22">
        <v>100</v>
      </c>
      <c r="H18" s="23">
        <v>40.5</v>
      </c>
      <c r="I18" s="22">
        <f t="shared" si="0"/>
        <v>59.5</v>
      </c>
      <c r="J18" s="22" t="s">
        <v>16</v>
      </c>
      <c r="K18" s="24"/>
      <c r="L18" s="25"/>
    </row>
    <row r="19" spans="1:12" ht="15.75" x14ac:dyDescent="0.25">
      <c r="A19" s="20" t="s">
        <v>22</v>
      </c>
      <c r="B19" s="21" t="s">
        <v>347</v>
      </c>
      <c r="C19" s="28" t="s">
        <v>330</v>
      </c>
      <c r="D19" s="29" t="s">
        <v>293</v>
      </c>
      <c r="E19" s="40" t="s">
        <v>348</v>
      </c>
      <c r="F19" s="22">
        <v>64.7</v>
      </c>
      <c r="G19" s="22">
        <v>100</v>
      </c>
      <c r="H19" s="23">
        <v>64.7</v>
      </c>
      <c r="I19" s="22">
        <f t="shared" si="0"/>
        <v>35.299999999999997</v>
      </c>
      <c r="J19" s="22" t="s">
        <v>16</v>
      </c>
      <c r="K19" s="24"/>
      <c r="L19" s="25"/>
    </row>
    <row r="20" spans="1:12" ht="15.75" x14ac:dyDescent="0.25">
      <c r="A20" s="20" t="s">
        <v>228</v>
      </c>
      <c r="B20" s="21" t="s">
        <v>358</v>
      </c>
      <c r="C20" s="28" t="s">
        <v>359</v>
      </c>
      <c r="D20" s="29" t="s">
        <v>360</v>
      </c>
      <c r="E20" s="40" t="s">
        <v>361</v>
      </c>
      <c r="F20" s="22">
        <v>64000</v>
      </c>
      <c r="G20" s="22">
        <v>200000</v>
      </c>
      <c r="H20" s="23">
        <v>64000</v>
      </c>
      <c r="I20" s="22">
        <f>G20-H20</f>
        <v>136000</v>
      </c>
      <c r="J20" s="22" t="s">
        <v>16</v>
      </c>
      <c r="K20" s="24"/>
      <c r="L20" s="25"/>
    </row>
    <row r="21" spans="1:12" ht="15.75" x14ac:dyDescent="0.25">
      <c r="A21" s="20" t="s">
        <v>82</v>
      </c>
      <c r="B21" s="21" t="s">
        <v>163</v>
      </c>
      <c r="C21" s="28" t="s">
        <v>15</v>
      </c>
      <c r="D21" s="29" t="s">
        <v>374</v>
      </c>
      <c r="E21" s="40" t="s">
        <v>81</v>
      </c>
      <c r="F21" s="22">
        <v>590</v>
      </c>
      <c r="G21" s="22">
        <v>2000</v>
      </c>
      <c r="H21" s="23">
        <v>590</v>
      </c>
      <c r="I21" s="22">
        <f>G21-H21</f>
        <v>1410</v>
      </c>
      <c r="J21" s="22" t="s">
        <v>16</v>
      </c>
      <c r="K21" s="24"/>
      <c r="L21" s="25"/>
    </row>
    <row r="22" spans="1:12" ht="15.75" x14ac:dyDescent="0.25">
      <c r="A22" s="20" t="s">
        <v>51</v>
      </c>
      <c r="B22" s="21" t="s">
        <v>349</v>
      </c>
      <c r="C22" s="28" t="s">
        <v>350</v>
      </c>
      <c r="D22" s="29" t="s">
        <v>293</v>
      </c>
      <c r="E22" s="40" t="s">
        <v>351</v>
      </c>
      <c r="F22" s="22">
        <v>171.9</v>
      </c>
      <c r="G22" s="22">
        <v>500</v>
      </c>
      <c r="H22" s="23">
        <v>171.9</v>
      </c>
      <c r="I22" s="22">
        <f>G22-H22</f>
        <v>328.1</v>
      </c>
      <c r="J22" s="22" t="s">
        <v>16</v>
      </c>
      <c r="K22" s="24"/>
      <c r="L22" s="25"/>
    </row>
    <row r="23" spans="1:12" ht="15.75" x14ac:dyDescent="0.25">
      <c r="A23" s="20" t="s">
        <v>22</v>
      </c>
      <c r="B23" s="21" t="s">
        <v>356</v>
      </c>
      <c r="C23" s="28" t="s">
        <v>357</v>
      </c>
      <c r="D23" s="29" t="s">
        <v>211</v>
      </c>
      <c r="E23" s="40" t="s">
        <v>351</v>
      </c>
      <c r="F23" s="22">
        <v>175</v>
      </c>
      <c r="G23" s="22">
        <v>150</v>
      </c>
      <c r="H23" s="23">
        <v>175</v>
      </c>
      <c r="I23" s="22">
        <f t="shared" si="0"/>
        <v>-25</v>
      </c>
      <c r="J23" s="22" t="s">
        <v>24</v>
      </c>
      <c r="K23" s="24"/>
      <c r="L23" s="25"/>
    </row>
    <row r="24" spans="1:12" ht="15.75" x14ac:dyDescent="0.25">
      <c r="A24" s="20" t="s">
        <v>21</v>
      </c>
      <c r="B24" s="21" t="s">
        <v>352</v>
      </c>
      <c r="C24" s="28" t="s">
        <v>353</v>
      </c>
      <c r="D24" s="29" t="s">
        <v>354</v>
      </c>
      <c r="E24" s="40" t="s">
        <v>355</v>
      </c>
      <c r="F24" s="22">
        <v>6000</v>
      </c>
      <c r="G24" s="22">
        <v>20000</v>
      </c>
      <c r="H24" s="23">
        <v>6000</v>
      </c>
      <c r="I24" s="22">
        <f t="shared" si="0"/>
        <v>14000</v>
      </c>
      <c r="J24" s="22" t="s">
        <v>16</v>
      </c>
      <c r="K24" s="24"/>
      <c r="L24" s="25"/>
    </row>
    <row r="25" spans="1:12" ht="16.5" thickBot="1" x14ac:dyDescent="0.3">
      <c r="A25" s="30"/>
      <c r="B25" s="31"/>
      <c r="C25" s="32"/>
      <c r="D25" s="33"/>
      <c r="E25" s="41"/>
      <c r="F25" s="34"/>
      <c r="G25" s="34"/>
      <c r="H25" s="35"/>
      <c r="I25" s="34"/>
      <c r="J25" s="34" t="s">
        <v>64</v>
      </c>
      <c r="K25" s="36"/>
      <c r="L25" s="3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21"/>
  <sheetViews>
    <sheetView workbookViewId="0">
      <pane xSplit="3" topLeftCell="E1" activePane="topRight" state="frozen"/>
      <selection pane="topRight" activeCell="H19" sqref="H19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203</v>
      </c>
      <c r="C4" s="26" t="s">
        <v>204</v>
      </c>
      <c r="D4" s="27" t="s">
        <v>376</v>
      </c>
      <c r="E4" s="39" t="s">
        <v>206</v>
      </c>
      <c r="F4" s="16">
        <v>2301.6</v>
      </c>
      <c r="G4" s="16">
        <v>3000</v>
      </c>
      <c r="H4" s="17">
        <v>2301.6</v>
      </c>
      <c r="I4" s="16">
        <f t="shared" ref="I4:I20" si="0">G4-H4</f>
        <v>698.40000000000009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377</v>
      </c>
      <c r="C5" s="28" t="s">
        <v>242</v>
      </c>
      <c r="D5" s="29" t="s">
        <v>77</v>
      </c>
      <c r="E5" s="40" t="s">
        <v>96</v>
      </c>
      <c r="F5" s="22">
        <v>7000</v>
      </c>
      <c r="G5" s="22">
        <v>200000</v>
      </c>
      <c r="H5" s="23">
        <v>81000</v>
      </c>
      <c r="I5" s="22">
        <f t="shared" si="0"/>
        <v>119000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209</v>
      </c>
      <c r="C6" s="28" t="s">
        <v>210</v>
      </c>
      <c r="D6" s="29" t="s">
        <v>211</v>
      </c>
      <c r="E6" s="40" t="s">
        <v>212</v>
      </c>
      <c r="F6" s="22">
        <v>275.89999999999998</v>
      </c>
      <c r="G6" s="22">
        <v>3000</v>
      </c>
      <c r="H6" s="23">
        <f>612.3+235.1+149.7+266+516.5+183.6+275.9</f>
        <v>2239.1</v>
      </c>
      <c r="I6" s="22">
        <f>G6-H6</f>
        <v>760.90000000000009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372</v>
      </c>
      <c r="C7" s="28" t="s">
        <v>15</v>
      </c>
      <c r="D7" s="29" t="s">
        <v>18</v>
      </c>
      <c r="E7" s="40" t="s">
        <v>379</v>
      </c>
      <c r="F7" s="22">
        <v>20000</v>
      </c>
      <c r="G7" s="22">
        <v>20000</v>
      </c>
      <c r="H7" s="23">
        <v>20000</v>
      </c>
      <c r="I7" s="22">
        <f>G7-H7</f>
        <v>0</v>
      </c>
      <c r="J7" s="22" t="s">
        <v>23</v>
      </c>
      <c r="K7" s="24"/>
      <c r="L7" s="25"/>
    </row>
    <row r="8" spans="1:12" ht="15.75" x14ac:dyDescent="0.25">
      <c r="A8" s="20" t="s">
        <v>19</v>
      </c>
      <c r="B8" s="21" t="s">
        <v>217</v>
      </c>
      <c r="C8" s="28" t="s">
        <v>15</v>
      </c>
      <c r="D8" s="29" t="s">
        <v>53</v>
      </c>
      <c r="E8" s="40" t="s">
        <v>218</v>
      </c>
      <c r="F8" s="22">
        <v>10000</v>
      </c>
      <c r="G8" s="22">
        <v>250000</v>
      </c>
      <c r="H8" s="23">
        <v>74300</v>
      </c>
      <c r="I8" s="22">
        <f>G8-H8</f>
        <v>175700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380</v>
      </c>
      <c r="C9" s="28" t="s">
        <v>15</v>
      </c>
      <c r="D9" s="29" t="s">
        <v>381</v>
      </c>
      <c r="E9" s="40" t="s">
        <v>382</v>
      </c>
      <c r="F9" s="22">
        <v>2250</v>
      </c>
      <c r="G9" s="22">
        <v>30000</v>
      </c>
      <c r="H9" s="23">
        <v>2250</v>
      </c>
      <c r="I9" s="22">
        <f t="shared" si="0"/>
        <v>27750</v>
      </c>
      <c r="J9" s="22" t="s">
        <v>16</v>
      </c>
      <c r="K9" s="24"/>
      <c r="L9" s="25"/>
    </row>
    <row r="10" spans="1:12" ht="15.75" x14ac:dyDescent="0.25">
      <c r="A10" s="20" t="s">
        <v>28</v>
      </c>
      <c r="B10" s="21" t="s">
        <v>383</v>
      </c>
      <c r="C10" s="28" t="s">
        <v>15</v>
      </c>
      <c r="D10" s="29" t="s">
        <v>18</v>
      </c>
      <c r="E10" s="40" t="s">
        <v>384</v>
      </c>
      <c r="F10" s="22">
        <f>22400+2800</f>
        <v>25200</v>
      </c>
      <c r="G10" s="22">
        <v>500000</v>
      </c>
      <c r="H10" s="23">
        <v>47600</v>
      </c>
      <c r="I10" s="22">
        <f t="shared" si="0"/>
        <v>452400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385</v>
      </c>
      <c r="C11" s="28" t="s">
        <v>15</v>
      </c>
      <c r="D11" s="29" t="s">
        <v>18</v>
      </c>
      <c r="E11" s="40" t="s">
        <v>386</v>
      </c>
      <c r="F11" s="22">
        <v>10000</v>
      </c>
      <c r="G11" s="22">
        <v>20000</v>
      </c>
      <c r="H11" s="23">
        <v>10000</v>
      </c>
      <c r="I11" s="22">
        <f>G11-H11</f>
        <v>10000</v>
      </c>
      <c r="J11" s="22" t="s">
        <v>16</v>
      </c>
      <c r="K11" s="24"/>
      <c r="L11" s="25"/>
    </row>
    <row r="12" spans="1:12" ht="15.75" x14ac:dyDescent="0.25">
      <c r="A12" s="20" t="s">
        <v>17</v>
      </c>
      <c r="B12" s="21" t="s">
        <v>339</v>
      </c>
      <c r="C12" s="28" t="s">
        <v>337</v>
      </c>
      <c r="D12" s="29" t="s">
        <v>18</v>
      </c>
      <c r="E12" s="40" t="s">
        <v>340</v>
      </c>
      <c r="F12" s="22">
        <v>725</v>
      </c>
      <c r="G12" s="22">
        <v>1000</v>
      </c>
      <c r="H12" s="23">
        <f>300+725</f>
        <v>1025</v>
      </c>
      <c r="I12" s="22">
        <f t="shared" si="0"/>
        <v>-25</v>
      </c>
      <c r="J12" s="22" t="s">
        <v>24</v>
      </c>
      <c r="K12" s="24"/>
      <c r="L12" s="25"/>
    </row>
    <row r="13" spans="1:12" ht="15.75" x14ac:dyDescent="0.25">
      <c r="A13" s="20" t="s">
        <v>17</v>
      </c>
      <c r="B13" s="21" t="s">
        <v>378</v>
      </c>
      <c r="C13" s="28" t="s">
        <v>15</v>
      </c>
      <c r="D13" s="29" t="s">
        <v>18</v>
      </c>
      <c r="E13" s="40" t="s">
        <v>342</v>
      </c>
      <c r="F13" s="22">
        <v>350</v>
      </c>
      <c r="G13" s="22">
        <v>300</v>
      </c>
      <c r="H13" s="23">
        <v>350</v>
      </c>
      <c r="I13" s="22">
        <f>G13-H13</f>
        <v>-50</v>
      </c>
      <c r="J13" s="22" t="s">
        <v>24</v>
      </c>
      <c r="K13" s="24"/>
      <c r="L13" s="25"/>
    </row>
    <row r="14" spans="1:12" ht="15.75" x14ac:dyDescent="0.25">
      <c r="A14" s="20" t="s">
        <v>19</v>
      </c>
      <c r="B14" s="21" t="s">
        <v>368</v>
      </c>
      <c r="C14" s="28" t="s">
        <v>15</v>
      </c>
      <c r="D14" s="29" t="s">
        <v>77</v>
      </c>
      <c r="E14" s="40" t="s">
        <v>369</v>
      </c>
      <c r="F14" s="22">
        <v>31262</v>
      </c>
      <c r="G14" s="22">
        <v>50000</v>
      </c>
      <c r="H14" s="23">
        <f>21000+31262</f>
        <v>52262</v>
      </c>
      <c r="I14" s="22">
        <f t="shared" ref="I14" si="1">G14-H14</f>
        <v>-2262</v>
      </c>
      <c r="J14" s="22" t="s">
        <v>24</v>
      </c>
      <c r="K14" s="24"/>
      <c r="L14" s="25"/>
    </row>
    <row r="15" spans="1:12" ht="15.75" x14ac:dyDescent="0.25">
      <c r="A15" s="20" t="s">
        <v>17</v>
      </c>
      <c r="B15" s="21" t="s">
        <v>375</v>
      </c>
      <c r="C15" s="28" t="s">
        <v>15</v>
      </c>
      <c r="D15" s="29" t="s">
        <v>344</v>
      </c>
      <c r="E15" s="40" t="s">
        <v>345</v>
      </c>
      <c r="F15" s="22">
        <v>20000</v>
      </c>
      <c r="G15" s="22">
        <v>100000</v>
      </c>
      <c r="H15" s="23">
        <v>20000</v>
      </c>
      <c r="I15" s="22">
        <f t="shared" si="0"/>
        <v>80000</v>
      </c>
      <c r="J15" s="22" t="s">
        <v>16</v>
      </c>
      <c r="K15" s="24"/>
      <c r="L15" s="25"/>
    </row>
    <row r="16" spans="1:12" ht="15.75" x14ac:dyDescent="0.25">
      <c r="A16" s="20" t="s">
        <v>20</v>
      </c>
      <c r="B16" s="21" t="s">
        <v>366</v>
      </c>
      <c r="C16" s="28" t="s">
        <v>15</v>
      </c>
      <c r="D16" s="29" t="s">
        <v>18</v>
      </c>
      <c r="E16" s="40" t="s">
        <v>367</v>
      </c>
      <c r="F16" s="22">
        <v>13318</v>
      </c>
      <c r="G16" s="22">
        <v>20000</v>
      </c>
      <c r="H16" s="23">
        <v>13318</v>
      </c>
      <c r="I16" s="22">
        <f t="shared" si="0"/>
        <v>6682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362</v>
      </c>
      <c r="C17" s="28" t="s">
        <v>363</v>
      </c>
      <c r="D17" s="29" t="s">
        <v>364</v>
      </c>
      <c r="E17" s="40" t="s">
        <v>365</v>
      </c>
      <c r="F17" s="22">
        <f>9000+650</f>
        <v>9650</v>
      </c>
      <c r="G17" s="22">
        <v>15000</v>
      </c>
      <c r="H17" s="23">
        <f>2000+9650</f>
        <v>11650</v>
      </c>
      <c r="I17" s="22">
        <f t="shared" si="0"/>
        <v>3350</v>
      </c>
      <c r="J17" s="22" t="s">
        <v>16</v>
      </c>
      <c r="K17" s="24"/>
      <c r="L17" s="25"/>
    </row>
    <row r="18" spans="1:12" ht="15.75" x14ac:dyDescent="0.25">
      <c r="A18" s="20" t="s">
        <v>28</v>
      </c>
      <c r="B18" s="21" t="s">
        <v>387</v>
      </c>
      <c r="C18" s="28" t="s">
        <v>15</v>
      </c>
      <c r="D18" s="29" t="s">
        <v>52</v>
      </c>
      <c r="E18" s="40" t="s">
        <v>388</v>
      </c>
      <c r="F18" s="22">
        <v>4850</v>
      </c>
      <c r="G18" s="22">
        <v>5100</v>
      </c>
      <c r="H18" s="23">
        <v>4850</v>
      </c>
      <c r="I18" s="22">
        <f t="shared" si="0"/>
        <v>250</v>
      </c>
      <c r="J18" s="22" t="s">
        <v>31</v>
      </c>
      <c r="K18" s="24"/>
      <c r="L18" s="25"/>
    </row>
    <row r="19" spans="1:12" ht="15.75" x14ac:dyDescent="0.25">
      <c r="A19" s="20" t="s">
        <v>51</v>
      </c>
      <c r="B19" s="21" t="s">
        <v>349</v>
      </c>
      <c r="C19" s="28" t="s">
        <v>350</v>
      </c>
      <c r="D19" s="29" t="s">
        <v>293</v>
      </c>
      <c r="E19" s="40" t="s">
        <v>351</v>
      </c>
      <c r="F19" s="22">
        <v>28</v>
      </c>
      <c r="G19" s="22">
        <v>500</v>
      </c>
      <c r="H19" s="23">
        <f>171.9+38</f>
        <v>209.9</v>
      </c>
      <c r="I19" s="22">
        <f>G19-H19</f>
        <v>290.10000000000002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352</v>
      </c>
      <c r="C20" s="28" t="s">
        <v>353</v>
      </c>
      <c r="D20" s="29" t="s">
        <v>354</v>
      </c>
      <c r="E20" s="40" t="s">
        <v>355</v>
      </c>
      <c r="F20" s="22">
        <v>12000</v>
      </c>
      <c r="G20" s="22">
        <v>20000</v>
      </c>
      <c r="H20" s="23">
        <f>6000+12000</f>
        <v>18000</v>
      </c>
      <c r="I20" s="22">
        <f t="shared" si="0"/>
        <v>2000</v>
      </c>
      <c r="J20" s="22" t="s">
        <v>16</v>
      </c>
      <c r="K20" s="24"/>
      <c r="L20" s="25"/>
    </row>
    <row r="21" spans="1:12" ht="16.5" thickBot="1" x14ac:dyDescent="0.3">
      <c r="A21" s="30"/>
      <c r="B21" s="31"/>
      <c r="C21" s="32"/>
      <c r="D21" s="33"/>
      <c r="E21" s="41"/>
      <c r="F21" s="34"/>
      <c r="G21" s="34"/>
      <c r="H21" s="35"/>
      <c r="I21" s="34"/>
      <c r="J21" s="34" t="s">
        <v>64</v>
      </c>
      <c r="K21" s="36"/>
      <c r="L21" s="3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L21"/>
  <sheetViews>
    <sheetView workbookViewId="0">
      <pane xSplit="3" topLeftCell="E1" activePane="topRight" state="frozen"/>
      <selection pane="topRight" activeCell="J18" sqref="J18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203</v>
      </c>
      <c r="C4" s="26" t="s">
        <v>204</v>
      </c>
      <c r="D4" s="27" t="s">
        <v>376</v>
      </c>
      <c r="E4" s="39" t="s">
        <v>206</v>
      </c>
      <c r="F4" s="16">
        <v>398.2</v>
      </c>
      <c r="G4" s="16">
        <v>3000</v>
      </c>
      <c r="H4" s="17">
        <f>2301.6+398.2</f>
        <v>2699.7999999999997</v>
      </c>
      <c r="I4" s="16">
        <f t="shared" ref="I4:I20" si="0">G4-H4</f>
        <v>300.20000000000027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389</v>
      </c>
      <c r="C5" s="28" t="s">
        <v>242</v>
      </c>
      <c r="D5" s="29" t="s">
        <v>77</v>
      </c>
      <c r="E5" s="40" t="s">
        <v>96</v>
      </c>
      <c r="F5" s="22">
        <v>4000</v>
      </c>
      <c r="G5" s="22">
        <v>200000</v>
      </c>
      <c r="H5" s="23">
        <f>81000+4000</f>
        <v>85000</v>
      </c>
      <c r="I5" s="22">
        <f t="shared" si="0"/>
        <v>115000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209</v>
      </c>
      <c r="C6" s="28" t="s">
        <v>210</v>
      </c>
      <c r="D6" s="29" t="s">
        <v>211</v>
      </c>
      <c r="E6" s="40" t="s">
        <v>212</v>
      </c>
      <c r="F6" s="22">
        <v>241.9</v>
      </c>
      <c r="G6" s="22">
        <v>3000</v>
      </c>
      <c r="H6" s="23">
        <f>612.3+235.1+149.7+266+516.5+183.6+275.9+239.2+241.9</f>
        <v>2720.2</v>
      </c>
      <c r="I6" s="22">
        <f>G6-H6</f>
        <v>279.80000000000018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390</v>
      </c>
      <c r="C7" s="28" t="s">
        <v>391</v>
      </c>
      <c r="D7" s="29" t="s">
        <v>18</v>
      </c>
      <c r="E7" s="40" t="s">
        <v>392</v>
      </c>
      <c r="F7" s="22">
        <v>3000</v>
      </c>
      <c r="G7" s="22">
        <v>3000</v>
      </c>
      <c r="H7" s="23">
        <v>3000</v>
      </c>
      <c r="I7" s="22">
        <f>G7-H7</f>
        <v>0</v>
      </c>
      <c r="J7" s="22" t="s">
        <v>23</v>
      </c>
      <c r="K7" s="24"/>
      <c r="L7" s="25"/>
    </row>
    <row r="8" spans="1:12" ht="15.75" x14ac:dyDescent="0.25">
      <c r="A8" s="20" t="s">
        <v>19</v>
      </c>
      <c r="B8" s="21" t="s">
        <v>217</v>
      </c>
      <c r="C8" s="28" t="s">
        <v>15</v>
      </c>
      <c r="D8" s="29" t="s">
        <v>53</v>
      </c>
      <c r="E8" s="40" t="s">
        <v>218</v>
      </c>
      <c r="F8" s="22">
        <v>3750</v>
      </c>
      <c r="G8" s="22">
        <v>250000</v>
      </c>
      <c r="H8" s="23">
        <f>74300+3750</f>
        <v>78050</v>
      </c>
      <c r="I8" s="22">
        <f>G8-H8</f>
        <v>171950</v>
      </c>
      <c r="J8" s="22" t="s">
        <v>16</v>
      </c>
      <c r="K8" s="24"/>
      <c r="L8" s="25"/>
    </row>
    <row r="9" spans="1:12" ht="15.75" x14ac:dyDescent="0.25">
      <c r="A9" s="20" t="s">
        <v>20</v>
      </c>
      <c r="B9" s="21" t="s">
        <v>393</v>
      </c>
      <c r="C9" s="28" t="s">
        <v>394</v>
      </c>
      <c r="D9" s="29" t="s">
        <v>18</v>
      </c>
      <c r="E9" s="40" t="s">
        <v>395</v>
      </c>
      <c r="F9" s="22">
        <v>2160</v>
      </c>
      <c r="G9" s="22">
        <v>2000</v>
      </c>
      <c r="H9" s="23">
        <v>2160</v>
      </c>
      <c r="I9" s="22">
        <f t="shared" si="0"/>
        <v>-160</v>
      </c>
      <c r="J9" s="22" t="s">
        <v>24</v>
      </c>
      <c r="K9" s="24"/>
      <c r="L9" s="25"/>
    </row>
    <row r="10" spans="1:12" ht="15.75" x14ac:dyDescent="0.25">
      <c r="A10" s="20" t="s">
        <v>28</v>
      </c>
      <c r="B10" s="21" t="s">
        <v>383</v>
      </c>
      <c r="C10" s="28" t="s">
        <v>15</v>
      </c>
      <c r="D10" s="29" t="s">
        <v>18</v>
      </c>
      <c r="E10" s="40" t="s">
        <v>384</v>
      </c>
      <c r="F10" s="22">
        <v>16800</v>
      </c>
      <c r="G10" s="22">
        <v>500000</v>
      </c>
      <c r="H10" s="23">
        <f>47600+16800</f>
        <v>64400</v>
      </c>
      <c r="I10" s="22">
        <f t="shared" si="0"/>
        <v>435600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385</v>
      </c>
      <c r="C11" s="28" t="s">
        <v>15</v>
      </c>
      <c r="D11" s="29" t="s">
        <v>18</v>
      </c>
      <c r="E11" s="40" t="s">
        <v>386</v>
      </c>
      <c r="F11" s="22">
        <v>9800</v>
      </c>
      <c r="G11" s="22">
        <v>20000</v>
      </c>
      <c r="H11" s="23">
        <f>10000+9800</f>
        <v>19800</v>
      </c>
      <c r="I11" s="22">
        <f>G11-H11</f>
        <v>200</v>
      </c>
      <c r="J11" s="22" t="s">
        <v>31</v>
      </c>
      <c r="K11" s="24"/>
      <c r="L11" s="25"/>
    </row>
    <row r="12" spans="1:12" ht="15.75" x14ac:dyDescent="0.25">
      <c r="A12" s="20" t="s">
        <v>19</v>
      </c>
      <c r="B12" s="21" t="s">
        <v>396</v>
      </c>
      <c r="C12" s="28" t="s">
        <v>397</v>
      </c>
      <c r="D12" s="29" t="s">
        <v>398</v>
      </c>
      <c r="E12" s="40" t="s">
        <v>399</v>
      </c>
      <c r="F12" s="22">
        <v>2000</v>
      </c>
      <c r="G12" s="22">
        <v>20000</v>
      </c>
      <c r="H12" s="23">
        <v>2000</v>
      </c>
      <c r="I12" s="22">
        <f t="shared" si="0"/>
        <v>18000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400</v>
      </c>
      <c r="C13" s="28" t="s">
        <v>401</v>
      </c>
      <c r="D13" s="29" t="s">
        <v>54</v>
      </c>
      <c r="E13" s="40" t="s">
        <v>402</v>
      </c>
      <c r="F13" s="22">
        <v>3900</v>
      </c>
      <c r="G13" s="22">
        <v>15000</v>
      </c>
      <c r="H13" s="23">
        <v>3900</v>
      </c>
      <c r="I13" s="22">
        <f>G13-H13</f>
        <v>11100</v>
      </c>
      <c r="J13" s="22" t="s">
        <v>16</v>
      </c>
      <c r="K13" s="24"/>
      <c r="L13" s="25"/>
    </row>
    <row r="14" spans="1:12" ht="15.75" x14ac:dyDescent="0.25">
      <c r="A14" s="20" t="s">
        <v>40</v>
      </c>
      <c r="B14" s="21" t="s">
        <v>149</v>
      </c>
      <c r="C14" s="28" t="s">
        <v>62</v>
      </c>
      <c r="D14" s="29" t="s">
        <v>54</v>
      </c>
      <c r="E14" s="40" t="s">
        <v>59</v>
      </c>
      <c r="F14" s="22">
        <v>21000</v>
      </c>
      <c r="G14" s="22">
        <v>500000</v>
      </c>
      <c r="H14" s="23">
        <f>161000+48000+14000+9000+11000+21000</f>
        <v>264000</v>
      </c>
      <c r="I14" s="22">
        <f t="shared" ref="I14" si="1">G14-H14</f>
        <v>236000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403</v>
      </c>
      <c r="C15" s="28" t="s">
        <v>404</v>
      </c>
      <c r="D15" s="29" t="s">
        <v>27</v>
      </c>
      <c r="E15" s="40" t="s">
        <v>405</v>
      </c>
      <c r="F15" s="22">
        <f>44000+8000</f>
        <v>52000</v>
      </c>
      <c r="G15" s="22">
        <v>1000000</v>
      </c>
      <c r="H15" s="23">
        <f>52000</f>
        <v>52000</v>
      </c>
      <c r="I15" s="22">
        <f t="shared" si="0"/>
        <v>948000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358</v>
      </c>
      <c r="C16" s="28" t="s">
        <v>359</v>
      </c>
      <c r="D16" s="29" t="s">
        <v>360</v>
      </c>
      <c r="E16" s="40" t="s">
        <v>361</v>
      </c>
      <c r="F16" s="22">
        <v>16000</v>
      </c>
      <c r="G16" s="22">
        <v>200000</v>
      </c>
      <c r="H16" s="23">
        <f>64000+16000</f>
        <v>80000</v>
      </c>
      <c r="I16" s="22">
        <f>G16-H16</f>
        <v>120000</v>
      </c>
      <c r="J16" s="22" t="s">
        <v>16</v>
      </c>
      <c r="K16" s="24"/>
      <c r="L16" s="25"/>
    </row>
    <row r="17" spans="1:12" ht="15.75" x14ac:dyDescent="0.25">
      <c r="A17" s="20" t="s">
        <v>21</v>
      </c>
      <c r="B17" s="21" t="s">
        <v>318</v>
      </c>
      <c r="C17" s="28" t="s">
        <v>406</v>
      </c>
      <c r="D17" s="29" t="s">
        <v>407</v>
      </c>
      <c r="E17" s="40" t="s">
        <v>320</v>
      </c>
      <c r="F17" s="22">
        <v>14000</v>
      </c>
      <c r="G17" s="22">
        <v>38000</v>
      </c>
      <c r="H17" s="23">
        <v>38000</v>
      </c>
      <c r="I17" s="22">
        <f t="shared" si="0"/>
        <v>0</v>
      </c>
      <c r="J17" s="22" t="s">
        <v>23</v>
      </c>
      <c r="K17" s="24"/>
      <c r="L17" s="25"/>
    </row>
    <row r="18" spans="1:12" ht="15.75" x14ac:dyDescent="0.25">
      <c r="A18" s="20" t="s">
        <v>20</v>
      </c>
      <c r="B18" s="21" t="s">
        <v>262</v>
      </c>
      <c r="C18" s="28" t="s">
        <v>263</v>
      </c>
      <c r="D18" s="29" t="s">
        <v>65</v>
      </c>
      <c r="E18" s="40" t="s">
        <v>264</v>
      </c>
      <c r="F18" s="22">
        <v>525</v>
      </c>
      <c r="G18" s="22">
        <v>9264</v>
      </c>
      <c r="H18" s="23">
        <f>8750+525</f>
        <v>9275</v>
      </c>
      <c r="I18" s="22">
        <f t="shared" si="0"/>
        <v>-11</v>
      </c>
      <c r="J18" s="22" t="s">
        <v>24</v>
      </c>
      <c r="K18" s="24"/>
      <c r="L18" s="25"/>
    </row>
    <row r="19" spans="1:12" ht="15.75" x14ac:dyDescent="0.25">
      <c r="A19" s="20" t="s">
        <v>22</v>
      </c>
      <c r="B19" s="21" t="s">
        <v>186</v>
      </c>
      <c r="C19" s="28" t="s">
        <v>187</v>
      </c>
      <c r="D19" s="29" t="s">
        <v>211</v>
      </c>
      <c r="E19" s="40" t="s">
        <v>46</v>
      </c>
      <c r="F19" s="22">
        <v>144.5</v>
      </c>
      <c r="G19" s="22">
        <v>500</v>
      </c>
      <c r="H19" s="23">
        <v>232.3</v>
      </c>
      <c r="I19" s="22">
        <f>G19-H19</f>
        <v>267.7</v>
      </c>
      <c r="J19" s="22" t="s">
        <v>16</v>
      </c>
      <c r="K19" s="24"/>
      <c r="L19" s="25"/>
    </row>
    <row r="20" spans="1:12" ht="15.75" x14ac:dyDescent="0.25">
      <c r="A20" s="20" t="s">
        <v>408</v>
      </c>
      <c r="B20" s="21" t="s">
        <v>150</v>
      </c>
      <c r="C20" s="28" t="s">
        <v>409</v>
      </c>
      <c r="D20" s="29" t="s">
        <v>410</v>
      </c>
      <c r="E20" s="40" t="s">
        <v>411</v>
      </c>
      <c r="F20" s="22">
        <v>1026.8499999999999</v>
      </c>
      <c r="G20" s="22">
        <v>1000</v>
      </c>
      <c r="H20" s="23">
        <v>1026.8499999999999</v>
      </c>
      <c r="I20" s="22">
        <f t="shared" si="0"/>
        <v>-26.849999999999909</v>
      </c>
      <c r="J20" s="22" t="s">
        <v>24</v>
      </c>
      <c r="K20" s="24"/>
      <c r="L20" s="25"/>
    </row>
    <row r="21" spans="1:12" ht="16.5" thickBot="1" x14ac:dyDescent="0.3">
      <c r="A21" s="30"/>
      <c r="B21" s="31"/>
      <c r="C21" s="32"/>
      <c r="D21" s="33"/>
      <c r="E21" s="41"/>
      <c r="F21" s="34"/>
      <c r="G21" s="34"/>
      <c r="H21" s="35"/>
      <c r="I21" s="34"/>
      <c r="J21" s="34" t="s">
        <v>64</v>
      </c>
      <c r="K21" s="36"/>
      <c r="L21" s="3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L23"/>
  <sheetViews>
    <sheetView workbookViewId="0">
      <pane xSplit="3" topLeftCell="E1" activePane="topRight" state="frozen"/>
      <selection pane="topRight" activeCell="A9" sqref="A9:XFD9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102</v>
      </c>
      <c r="C4" s="26" t="s">
        <v>15</v>
      </c>
      <c r="D4" s="27" t="s">
        <v>77</v>
      </c>
      <c r="E4" s="39" t="s">
        <v>55</v>
      </c>
      <c r="F4" s="16">
        <v>1000</v>
      </c>
      <c r="G4" s="16">
        <v>100000</v>
      </c>
      <c r="H4" s="17">
        <v>1000</v>
      </c>
      <c r="I4" s="16">
        <f t="shared" ref="I4:I21" si="0">G4-H4</f>
        <v>99000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389</v>
      </c>
      <c r="C5" s="28" t="s">
        <v>242</v>
      </c>
      <c r="D5" s="29" t="s">
        <v>77</v>
      </c>
      <c r="E5" s="40" t="s">
        <v>96</v>
      </c>
      <c r="F5" s="22">
        <v>4000</v>
      </c>
      <c r="G5" s="22">
        <v>200000</v>
      </c>
      <c r="H5" s="23">
        <f>81000+4000+4000</f>
        <v>89000</v>
      </c>
      <c r="I5" s="22">
        <f t="shared" si="0"/>
        <v>111000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209</v>
      </c>
      <c r="C6" s="28" t="s">
        <v>210</v>
      </c>
      <c r="D6" s="29" t="s">
        <v>211</v>
      </c>
      <c r="E6" s="40" t="s">
        <v>212</v>
      </c>
      <c r="F6" s="22">
        <v>239.2</v>
      </c>
      <c r="G6" s="22">
        <v>3000</v>
      </c>
      <c r="H6" s="23">
        <f>612.3+235.1+149.7+266+516.5+183.6+275.9+239.2</f>
        <v>2478.2999999999997</v>
      </c>
      <c r="I6" s="22">
        <f>G6-H6</f>
        <v>521.70000000000027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286</v>
      </c>
      <c r="C7" s="28" t="s">
        <v>287</v>
      </c>
      <c r="D7" s="29" t="s">
        <v>288</v>
      </c>
      <c r="E7" s="40" t="s">
        <v>289</v>
      </c>
      <c r="F7" s="22">
        <v>10150</v>
      </c>
      <c r="G7" s="22">
        <v>50000</v>
      </c>
      <c r="H7" s="23">
        <v>43800</v>
      </c>
      <c r="I7" s="22">
        <f>G7-H7</f>
        <v>6200</v>
      </c>
      <c r="J7" s="22" t="s">
        <v>16</v>
      </c>
      <c r="K7" s="24"/>
      <c r="L7" s="25"/>
    </row>
    <row r="8" spans="1:12" ht="15.75" x14ac:dyDescent="0.25">
      <c r="A8" s="20" t="s">
        <v>30</v>
      </c>
      <c r="B8" s="21" t="s">
        <v>421</v>
      </c>
      <c r="C8" s="28" t="s">
        <v>422</v>
      </c>
      <c r="D8" s="29" t="s">
        <v>48</v>
      </c>
      <c r="E8" s="40" t="s">
        <v>49</v>
      </c>
      <c r="F8" s="22">
        <v>36000</v>
      </c>
      <c r="G8" s="22">
        <v>135000</v>
      </c>
      <c r="H8" s="23">
        <v>36000</v>
      </c>
      <c r="I8" s="22">
        <f>G8-H8</f>
        <v>99000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423</v>
      </c>
      <c r="C9" s="28" t="s">
        <v>287</v>
      </c>
      <c r="D9" s="29" t="s">
        <v>18</v>
      </c>
      <c r="E9" s="40" t="s">
        <v>424</v>
      </c>
      <c r="F9" s="22">
        <v>30000</v>
      </c>
      <c r="G9" s="22">
        <v>50000</v>
      </c>
      <c r="H9" s="23">
        <v>30000</v>
      </c>
      <c r="I9" s="22">
        <f t="shared" si="0"/>
        <v>20000</v>
      </c>
      <c r="J9" s="22" t="s">
        <v>16</v>
      </c>
      <c r="K9" s="24"/>
      <c r="L9" s="25"/>
    </row>
    <row r="10" spans="1:12" ht="15.75" x14ac:dyDescent="0.25">
      <c r="A10" s="20" t="s">
        <v>28</v>
      </c>
      <c r="B10" s="21" t="s">
        <v>383</v>
      </c>
      <c r="C10" s="28" t="s">
        <v>15</v>
      </c>
      <c r="D10" s="29" t="s">
        <v>18</v>
      </c>
      <c r="E10" s="40" t="s">
        <v>384</v>
      </c>
      <c r="F10" s="22">
        <v>3500</v>
      </c>
      <c r="G10" s="22">
        <v>500000</v>
      </c>
      <c r="H10" s="23">
        <f>47600+16800+3500</f>
        <v>67900</v>
      </c>
      <c r="I10" s="22">
        <f t="shared" si="0"/>
        <v>432100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412</v>
      </c>
      <c r="C11" s="28" t="s">
        <v>15</v>
      </c>
      <c r="D11" s="29" t="s">
        <v>18</v>
      </c>
      <c r="E11" s="40" t="s">
        <v>413</v>
      </c>
      <c r="F11" s="22">
        <v>5500</v>
      </c>
      <c r="G11" s="22">
        <v>20000</v>
      </c>
      <c r="H11" s="23">
        <v>5500</v>
      </c>
      <c r="I11" s="22">
        <f>G11-H11</f>
        <v>14500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396</v>
      </c>
      <c r="C12" s="28" t="s">
        <v>397</v>
      </c>
      <c r="D12" s="29" t="s">
        <v>398</v>
      </c>
      <c r="E12" s="40" t="s">
        <v>399</v>
      </c>
      <c r="F12" s="22">
        <v>15150</v>
      </c>
      <c r="G12" s="22">
        <v>20000</v>
      </c>
      <c r="H12" s="23">
        <f>2000+15150</f>
        <v>17150</v>
      </c>
      <c r="I12" s="22">
        <f t="shared" si="0"/>
        <v>2850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400</v>
      </c>
      <c r="C13" s="28" t="s">
        <v>401</v>
      </c>
      <c r="D13" s="29" t="s">
        <v>54</v>
      </c>
      <c r="E13" s="40" t="s">
        <v>402</v>
      </c>
      <c r="F13" s="22">
        <v>6050</v>
      </c>
      <c r="G13" s="22">
        <v>15000</v>
      </c>
      <c r="H13" s="23">
        <f>3900+6050</f>
        <v>9950</v>
      </c>
      <c r="I13" s="22">
        <f>G13-H13</f>
        <v>5050</v>
      </c>
      <c r="J13" s="22" t="s">
        <v>16</v>
      </c>
      <c r="K13" s="24"/>
      <c r="L13" s="25"/>
    </row>
    <row r="14" spans="1:12" ht="15.75" x14ac:dyDescent="0.25">
      <c r="A14" s="20" t="s">
        <v>40</v>
      </c>
      <c r="B14" s="21" t="s">
        <v>149</v>
      </c>
      <c r="C14" s="28" t="s">
        <v>62</v>
      </c>
      <c r="D14" s="29" t="s">
        <v>54</v>
      </c>
      <c r="E14" s="40" t="s">
        <v>59</v>
      </c>
      <c r="F14" s="22">
        <v>12000</v>
      </c>
      <c r="G14" s="22">
        <v>500000</v>
      </c>
      <c r="H14" s="23">
        <f>161000+48000+14000+9000+11000+21000+12000</f>
        <v>276000</v>
      </c>
      <c r="I14" s="22">
        <f t="shared" ref="I14" si="1">G14-H14</f>
        <v>224000</v>
      </c>
      <c r="J14" s="22" t="s">
        <v>16</v>
      </c>
      <c r="K14" s="24"/>
      <c r="L14" s="25"/>
    </row>
    <row r="15" spans="1:12" ht="15.75" x14ac:dyDescent="0.25">
      <c r="A15" s="20" t="s">
        <v>51</v>
      </c>
      <c r="B15" s="21" t="s">
        <v>349</v>
      </c>
      <c r="C15" s="28" t="s">
        <v>350</v>
      </c>
      <c r="D15" s="29" t="s">
        <v>425</v>
      </c>
      <c r="E15" s="40" t="s">
        <v>351</v>
      </c>
      <c r="F15" s="22">
        <v>282.89999999999998</v>
      </c>
      <c r="G15" s="22">
        <v>500</v>
      </c>
      <c r="H15" s="23">
        <v>542.20000000000005</v>
      </c>
      <c r="I15" s="22">
        <f>G15-H15</f>
        <v>-42.200000000000045</v>
      </c>
      <c r="J15" s="22" t="s">
        <v>24</v>
      </c>
      <c r="K15" s="24"/>
      <c r="L15" s="25"/>
    </row>
    <row r="16" spans="1:12" ht="15.75" x14ac:dyDescent="0.25">
      <c r="A16" s="20" t="s">
        <v>21</v>
      </c>
      <c r="B16" s="21" t="s">
        <v>403</v>
      </c>
      <c r="C16" s="28" t="s">
        <v>404</v>
      </c>
      <c r="D16" s="29" t="s">
        <v>27</v>
      </c>
      <c r="E16" s="40" t="s">
        <v>405</v>
      </c>
      <c r="F16" s="22">
        <v>20000</v>
      </c>
      <c r="G16" s="22">
        <v>1000000</v>
      </c>
      <c r="H16" s="23">
        <f>52000+20000</f>
        <v>72000</v>
      </c>
      <c r="I16" s="22">
        <f t="shared" si="0"/>
        <v>928000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358</v>
      </c>
      <c r="C17" s="28" t="s">
        <v>359</v>
      </c>
      <c r="D17" s="29" t="s">
        <v>360</v>
      </c>
      <c r="E17" s="40" t="s">
        <v>361</v>
      </c>
      <c r="F17" s="22">
        <v>30000</v>
      </c>
      <c r="G17" s="22">
        <v>200000</v>
      </c>
      <c r="H17" s="23">
        <f>64000+16000+30000</f>
        <v>110000</v>
      </c>
      <c r="I17" s="22">
        <f>G17-H17</f>
        <v>90000</v>
      </c>
      <c r="J17" s="22" t="s">
        <v>16</v>
      </c>
      <c r="K17" s="24"/>
      <c r="L17" s="25"/>
    </row>
    <row r="18" spans="1:12" ht="15.75" x14ac:dyDescent="0.25">
      <c r="A18" s="20" t="s">
        <v>14</v>
      </c>
      <c r="B18" s="21" t="s">
        <v>416</v>
      </c>
      <c r="C18" s="28" t="s">
        <v>417</v>
      </c>
      <c r="D18" s="29" t="s">
        <v>18</v>
      </c>
      <c r="E18" s="40" t="s">
        <v>418</v>
      </c>
      <c r="F18" s="22">
        <v>3370</v>
      </c>
      <c r="G18" s="22">
        <v>3000</v>
      </c>
      <c r="H18" s="23">
        <v>3370</v>
      </c>
      <c r="I18" s="22">
        <f t="shared" si="0"/>
        <v>-370</v>
      </c>
      <c r="J18" s="22" t="s">
        <v>24</v>
      </c>
      <c r="K18" s="24"/>
      <c r="L18" s="25"/>
    </row>
    <row r="19" spans="1:12" ht="15.75" x14ac:dyDescent="0.25">
      <c r="A19" s="20" t="s">
        <v>14</v>
      </c>
      <c r="B19" s="21" t="s">
        <v>419</v>
      </c>
      <c r="C19" s="28" t="s">
        <v>417</v>
      </c>
      <c r="D19" s="29" t="s">
        <v>18</v>
      </c>
      <c r="E19" s="40" t="s">
        <v>420</v>
      </c>
      <c r="F19" s="22">
        <v>1500</v>
      </c>
      <c r="G19" s="22">
        <v>3000</v>
      </c>
      <c r="H19" s="23">
        <v>1500</v>
      </c>
      <c r="I19" s="22">
        <f t="shared" si="0"/>
        <v>1500</v>
      </c>
      <c r="J19" s="22" t="s">
        <v>16</v>
      </c>
      <c r="K19" s="24"/>
      <c r="L19" s="25"/>
    </row>
    <row r="20" spans="1:12" ht="15.75" x14ac:dyDescent="0.25">
      <c r="A20" s="20" t="s">
        <v>22</v>
      </c>
      <c r="B20" s="21" t="s">
        <v>186</v>
      </c>
      <c r="C20" s="28" t="s">
        <v>187</v>
      </c>
      <c r="D20" s="29" t="s">
        <v>211</v>
      </c>
      <c r="E20" s="40" t="s">
        <v>46</v>
      </c>
      <c r="F20" s="22">
        <v>253.7</v>
      </c>
      <c r="G20" s="22">
        <v>500</v>
      </c>
      <c r="H20" s="23">
        <f>232.3+253.7</f>
        <v>486</v>
      </c>
      <c r="I20" s="22">
        <f>G20-H20</f>
        <v>14</v>
      </c>
      <c r="J20" s="22" t="s">
        <v>16</v>
      </c>
      <c r="K20" s="24"/>
      <c r="L20" s="25"/>
    </row>
    <row r="21" spans="1:12" ht="15.75" x14ac:dyDescent="0.25">
      <c r="A21" s="20" t="s">
        <v>20</v>
      </c>
      <c r="B21" s="21" t="s">
        <v>414</v>
      </c>
      <c r="C21" s="28" t="s">
        <v>415</v>
      </c>
      <c r="D21" s="29" t="s">
        <v>364</v>
      </c>
      <c r="E21" s="40" t="s">
        <v>365</v>
      </c>
      <c r="F21" s="22">
        <v>4950</v>
      </c>
      <c r="G21" s="22">
        <v>5000</v>
      </c>
      <c r="H21" s="23">
        <v>4950</v>
      </c>
      <c r="I21" s="22">
        <f t="shared" si="0"/>
        <v>50</v>
      </c>
      <c r="J21" s="22" t="s">
        <v>31</v>
      </c>
      <c r="K21" s="24"/>
      <c r="L21" s="25"/>
    </row>
    <row r="22" spans="1:12" ht="15.75" x14ac:dyDescent="0.25">
      <c r="A22" s="20" t="s">
        <v>82</v>
      </c>
      <c r="B22" s="21" t="s">
        <v>163</v>
      </c>
      <c r="C22" s="28" t="s">
        <v>15</v>
      </c>
      <c r="D22" s="29" t="s">
        <v>374</v>
      </c>
      <c r="E22" s="40" t="s">
        <v>81</v>
      </c>
      <c r="F22" s="22">
        <v>256</v>
      </c>
      <c r="G22" s="22">
        <v>2000</v>
      </c>
      <c r="H22" s="23">
        <f>590+160</f>
        <v>750</v>
      </c>
      <c r="I22" s="22">
        <f>G22-H22</f>
        <v>1250</v>
      </c>
      <c r="J22" s="22" t="s">
        <v>16</v>
      </c>
      <c r="K22" s="24"/>
      <c r="L22" s="25"/>
    </row>
    <row r="23" spans="1:12" ht="16.5" thickBot="1" x14ac:dyDescent="0.3">
      <c r="A23" s="30"/>
      <c r="B23" s="31"/>
      <c r="C23" s="32"/>
      <c r="D23" s="33"/>
      <c r="E23" s="41"/>
      <c r="F23" s="34"/>
      <c r="G23" s="34"/>
      <c r="H23" s="35"/>
      <c r="I23" s="34"/>
      <c r="J23" s="34" t="s">
        <v>64</v>
      </c>
      <c r="K23" s="36"/>
      <c r="L23" s="3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L21"/>
  <sheetViews>
    <sheetView workbookViewId="0">
      <pane xSplit="3" topLeftCell="E1" activePane="topRight" state="frozen"/>
      <selection pane="topRight" activeCell="A8" sqref="A8:XFD8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102</v>
      </c>
      <c r="C4" s="26" t="s">
        <v>15</v>
      </c>
      <c r="D4" s="27" t="s">
        <v>77</v>
      </c>
      <c r="E4" s="39" t="s">
        <v>55</v>
      </c>
      <c r="F4" s="16">
        <v>8000</v>
      </c>
      <c r="G4" s="16">
        <v>100000</v>
      </c>
      <c r="H4" s="17">
        <f>1000+8000</f>
        <v>9000</v>
      </c>
      <c r="I4" s="16">
        <f t="shared" ref="I4:I19" si="0">G4-H4</f>
        <v>91000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430</v>
      </c>
      <c r="C5" s="28" t="s">
        <v>431</v>
      </c>
      <c r="D5" s="29" t="s">
        <v>432</v>
      </c>
      <c r="E5" s="40" t="s">
        <v>365</v>
      </c>
      <c r="F5" s="22">
        <v>8560</v>
      </c>
      <c r="G5" s="22">
        <v>9000</v>
      </c>
      <c r="H5" s="23">
        <v>8560</v>
      </c>
      <c r="I5" s="22">
        <f t="shared" si="0"/>
        <v>440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426</v>
      </c>
      <c r="C6" s="28" t="s">
        <v>210</v>
      </c>
      <c r="D6" s="29" t="s">
        <v>18</v>
      </c>
      <c r="E6" s="40" t="s">
        <v>427</v>
      </c>
      <c r="F6" s="22">
        <v>12000</v>
      </c>
      <c r="G6" s="22">
        <v>600000</v>
      </c>
      <c r="H6" s="23">
        <v>12000</v>
      </c>
      <c r="I6" s="22">
        <f>G6-H6</f>
        <v>588000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97</v>
      </c>
      <c r="C7" s="28" t="s">
        <v>429</v>
      </c>
      <c r="D7" s="29" t="s">
        <v>18</v>
      </c>
      <c r="E7" s="40" t="s">
        <v>99</v>
      </c>
      <c r="F7" s="22">
        <v>1850</v>
      </c>
      <c r="G7" s="22">
        <v>47500</v>
      </c>
      <c r="H7" s="23">
        <f>3050+4250+6200+3250+2950+10450+1400+3000+3839+1850</f>
        <v>40239</v>
      </c>
      <c r="I7" s="22">
        <f t="shared" ref="I7" si="1">G7-H7</f>
        <v>7261</v>
      </c>
      <c r="J7" s="22" t="s">
        <v>16</v>
      </c>
      <c r="K7" s="24"/>
      <c r="L7" s="25"/>
    </row>
    <row r="8" spans="1:12" ht="15.75" x14ac:dyDescent="0.25">
      <c r="A8" s="20" t="s">
        <v>30</v>
      </c>
      <c r="B8" s="21" t="s">
        <v>421</v>
      </c>
      <c r="C8" s="28" t="s">
        <v>422</v>
      </c>
      <c r="D8" s="29" t="s">
        <v>48</v>
      </c>
      <c r="E8" s="40" t="s">
        <v>49</v>
      </c>
      <c r="F8" s="22">
        <v>20000</v>
      </c>
      <c r="G8" s="22">
        <v>135000</v>
      </c>
      <c r="H8" s="23">
        <f>36000+20000</f>
        <v>56000</v>
      </c>
      <c r="I8" s="22">
        <f>G8-H8</f>
        <v>79000</v>
      </c>
      <c r="J8" s="22" t="s">
        <v>16</v>
      </c>
      <c r="K8" s="24"/>
      <c r="L8" s="25"/>
    </row>
    <row r="9" spans="1:12" ht="15.75" x14ac:dyDescent="0.25">
      <c r="A9" s="20" t="s">
        <v>51</v>
      </c>
      <c r="B9" s="21" t="s">
        <v>433</v>
      </c>
      <c r="C9" s="28" t="s">
        <v>434</v>
      </c>
      <c r="D9" s="29" t="s">
        <v>440</v>
      </c>
      <c r="E9" s="40" t="s">
        <v>435</v>
      </c>
      <c r="F9" s="22">
        <v>256.7</v>
      </c>
      <c r="G9" s="22">
        <v>524</v>
      </c>
      <c r="H9" s="23">
        <v>256.7</v>
      </c>
      <c r="I9" s="22">
        <f t="shared" si="0"/>
        <v>267.3</v>
      </c>
      <c r="J9" s="22" t="s">
        <v>16</v>
      </c>
      <c r="K9" s="24"/>
      <c r="L9" s="25"/>
    </row>
    <row r="10" spans="1:12" ht="15.75" x14ac:dyDescent="0.25">
      <c r="A10" s="20" t="s">
        <v>20</v>
      </c>
      <c r="B10" s="21" t="s">
        <v>436</v>
      </c>
      <c r="C10" s="28" t="s">
        <v>437</v>
      </c>
      <c r="D10" s="29" t="s">
        <v>42</v>
      </c>
      <c r="E10" s="40" t="s">
        <v>365</v>
      </c>
      <c r="F10" s="22">
        <f>4500+10500</f>
        <v>15000</v>
      </c>
      <c r="G10" s="22">
        <v>20000</v>
      </c>
      <c r="H10" s="23">
        <v>15000</v>
      </c>
      <c r="I10" s="22">
        <f t="shared" si="0"/>
        <v>5000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412</v>
      </c>
      <c r="C11" s="28" t="s">
        <v>15</v>
      </c>
      <c r="D11" s="29" t="s">
        <v>18</v>
      </c>
      <c r="E11" s="40" t="s">
        <v>413</v>
      </c>
      <c r="F11" s="22">
        <v>1000</v>
      </c>
      <c r="G11" s="22">
        <v>20000</v>
      </c>
      <c r="H11" s="23">
        <f>5500+1000</f>
        <v>6500</v>
      </c>
      <c r="I11" s="22">
        <f>G11-H11</f>
        <v>13500</v>
      </c>
      <c r="J11" s="22" t="s">
        <v>16</v>
      </c>
      <c r="K11" s="24"/>
      <c r="L11" s="25"/>
    </row>
    <row r="12" spans="1:12" ht="15.75" x14ac:dyDescent="0.25">
      <c r="A12" s="20" t="s">
        <v>30</v>
      </c>
      <c r="B12" s="21" t="s">
        <v>438</v>
      </c>
      <c r="C12" s="28" t="s">
        <v>422</v>
      </c>
      <c r="D12" s="29" t="s">
        <v>48</v>
      </c>
      <c r="E12" s="40" t="s">
        <v>439</v>
      </c>
      <c r="F12" s="22">
        <v>20000</v>
      </c>
      <c r="G12" s="22">
        <v>44000</v>
      </c>
      <c r="H12" s="23">
        <v>20000</v>
      </c>
      <c r="I12" s="22">
        <f t="shared" si="0"/>
        <v>24000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400</v>
      </c>
      <c r="C13" s="28" t="s">
        <v>401</v>
      </c>
      <c r="D13" s="29" t="s">
        <v>54</v>
      </c>
      <c r="E13" s="40" t="s">
        <v>402</v>
      </c>
      <c r="F13" s="22">
        <v>4550</v>
      </c>
      <c r="G13" s="22">
        <v>15000</v>
      </c>
      <c r="H13" s="23">
        <f>3900+6050+4550</f>
        <v>14500</v>
      </c>
      <c r="I13" s="22">
        <f>G13-H13</f>
        <v>500</v>
      </c>
      <c r="J13" s="22" t="s">
        <v>16</v>
      </c>
      <c r="K13" s="24"/>
      <c r="L13" s="25"/>
    </row>
    <row r="14" spans="1:12" ht="15.75" x14ac:dyDescent="0.25">
      <c r="A14" s="20" t="s">
        <v>51</v>
      </c>
      <c r="B14" s="21" t="s">
        <v>441</v>
      </c>
      <c r="C14" s="28" t="s">
        <v>442</v>
      </c>
      <c r="D14" s="29" t="s">
        <v>432</v>
      </c>
      <c r="E14" s="40" t="s">
        <v>38</v>
      </c>
      <c r="F14" s="22">
        <v>91.2</v>
      </c>
      <c r="G14" s="22">
        <v>150</v>
      </c>
      <c r="H14" s="23">
        <v>91.2</v>
      </c>
      <c r="I14" s="22">
        <f t="shared" ref="I14" si="2">G14-H14</f>
        <v>58.8</v>
      </c>
      <c r="J14" s="22" t="s">
        <v>16</v>
      </c>
      <c r="K14" s="24"/>
      <c r="L14" s="25"/>
    </row>
    <row r="15" spans="1:12" ht="15.75" x14ac:dyDescent="0.25">
      <c r="A15" s="20" t="s">
        <v>44</v>
      </c>
      <c r="B15" s="21" t="s">
        <v>158</v>
      </c>
      <c r="C15" s="28" t="s">
        <v>15</v>
      </c>
      <c r="D15" s="29" t="s">
        <v>47</v>
      </c>
      <c r="E15" s="40" t="s">
        <v>207</v>
      </c>
      <c r="F15" s="22">
        <v>25500</v>
      </c>
      <c r="G15" s="22">
        <v>500000</v>
      </c>
      <c r="H15" s="23">
        <v>25500</v>
      </c>
      <c r="I15" s="22">
        <f>G15-H15</f>
        <v>474500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403</v>
      </c>
      <c r="C16" s="28" t="s">
        <v>404</v>
      </c>
      <c r="D16" s="29" t="s">
        <v>27</v>
      </c>
      <c r="E16" s="40" t="s">
        <v>405</v>
      </c>
      <c r="F16" s="22">
        <v>39000</v>
      </c>
      <c r="G16" s="22">
        <v>1000000</v>
      </c>
      <c r="H16" s="23">
        <f>52000+20000+39000</f>
        <v>111000</v>
      </c>
      <c r="I16" s="22">
        <f t="shared" si="0"/>
        <v>889000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419</v>
      </c>
      <c r="C17" s="28" t="s">
        <v>417</v>
      </c>
      <c r="D17" s="29" t="s">
        <v>18</v>
      </c>
      <c r="E17" s="40" t="s">
        <v>420</v>
      </c>
      <c r="F17" s="22">
        <v>1540</v>
      </c>
      <c r="G17" s="22">
        <v>3000</v>
      </c>
      <c r="H17" s="23">
        <f>1500+1540</f>
        <v>3040</v>
      </c>
      <c r="I17" s="22">
        <f t="shared" si="0"/>
        <v>-40</v>
      </c>
      <c r="J17" s="22" t="s">
        <v>24</v>
      </c>
      <c r="K17" s="24"/>
      <c r="L17" s="25"/>
    </row>
    <row r="18" spans="1:12" ht="15.75" x14ac:dyDescent="0.25">
      <c r="A18" s="20" t="s">
        <v>346</v>
      </c>
      <c r="B18" s="21" t="s">
        <v>428</v>
      </c>
      <c r="C18" s="28" t="s">
        <v>61</v>
      </c>
      <c r="D18" s="29" t="s">
        <v>211</v>
      </c>
      <c r="E18" s="40" t="s">
        <v>46</v>
      </c>
      <c r="F18" s="22">
        <v>174.5</v>
      </c>
      <c r="G18" s="22">
        <v>500</v>
      </c>
      <c r="H18" s="23">
        <v>174.5</v>
      </c>
      <c r="I18" s="22">
        <f>G18-H18</f>
        <v>325.5</v>
      </c>
      <c r="J18" s="22" t="s">
        <v>16</v>
      </c>
      <c r="K18" s="24"/>
      <c r="L18" s="25"/>
    </row>
    <row r="19" spans="1:12" ht="15.75" x14ac:dyDescent="0.25">
      <c r="A19" s="20" t="s">
        <v>19</v>
      </c>
      <c r="B19" s="21" t="s">
        <v>217</v>
      </c>
      <c r="C19" s="28" t="s">
        <v>15</v>
      </c>
      <c r="D19" s="29" t="s">
        <v>53</v>
      </c>
      <c r="E19" s="40" t="s">
        <v>218</v>
      </c>
      <c r="F19" s="22">
        <v>5000</v>
      </c>
      <c r="G19" s="22">
        <v>250000</v>
      </c>
      <c r="H19" s="23">
        <v>83050</v>
      </c>
      <c r="I19" s="22">
        <f t="shared" si="0"/>
        <v>166950</v>
      </c>
      <c r="J19" s="22" t="s">
        <v>16</v>
      </c>
      <c r="K19" s="24"/>
      <c r="L19" s="25"/>
    </row>
    <row r="20" spans="1:12" ht="15.75" x14ac:dyDescent="0.25">
      <c r="A20" s="20" t="s">
        <v>82</v>
      </c>
      <c r="B20" s="21" t="s">
        <v>163</v>
      </c>
      <c r="C20" s="28" t="s">
        <v>15</v>
      </c>
      <c r="D20" s="29" t="s">
        <v>374</v>
      </c>
      <c r="E20" s="40" t="s">
        <v>81</v>
      </c>
      <c r="F20" s="22">
        <v>250</v>
      </c>
      <c r="G20" s="22">
        <v>2000</v>
      </c>
      <c r="H20" s="23">
        <f>590+160+250</f>
        <v>1000</v>
      </c>
      <c r="I20" s="22">
        <f>G20-H20</f>
        <v>1000</v>
      </c>
      <c r="J20" s="22" t="s">
        <v>16</v>
      </c>
      <c r="K20" s="24"/>
      <c r="L20" s="25"/>
    </row>
    <row r="21" spans="1:12" ht="16.5" thickBot="1" x14ac:dyDescent="0.3">
      <c r="A21" s="30"/>
      <c r="B21" s="31"/>
      <c r="C21" s="32"/>
      <c r="D21" s="33"/>
      <c r="E21" s="41"/>
      <c r="F21" s="34"/>
      <c r="G21" s="34"/>
      <c r="H21" s="35"/>
      <c r="I21" s="34"/>
      <c r="J21" s="34" t="s">
        <v>64</v>
      </c>
      <c r="K21" s="36"/>
      <c r="L21" s="3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L19"/>
  <sheetViews>
    <sheetView workbookViewId="0">
      <pane xSplit="3" topLeftCell="D1" activePane="topRight" state="frozen"/>
      <selection pane="topRight" activeCell="C7" sqref="C7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113</v>
      </c>
      <c r="C4" s="26" t="s">
        <v>88</v>
      </c>
      <c r="D4" s="27" t="s">
        <v>443</v>
      </c>
      <c r="E4" s="39" t="s">
        <v>90</v>
      </c>
      <c r="F4" s="16">
        <v>848.8</v>
      </c>
      <c r="G4" s="16">
        <v>1500</v>
      </c>
      <c r="H4" s="17">
        <f>848.8</f>
        <v>848.8</v>
      </c>
      <c r="I4" s="16">
        <f t="shared" ref="I4:I17" si="0">G4-H4</f>
        <v>651.20000000000005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445</v>
      </c>
      <c r="C5" s="28" t="s">
        <v>83</v>
      </c>
      <c r="D5" s="29" t="s">
        <v>446</v>
      </c>
      <c r="E5" s="40" t="s">
        <v>447</v>
      </c>
      <c r="F5" s="22">
        <v>1000</v>
      </c>
      <c r="G5" s="22">
        <v>15000</v>
      </c>
      <c r="H5" s="23">
        <v>1000</v>
      </c>
      <c r="I5" s="22">
        <f t="shared" si="0"/>
        <v>14000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426</v>
      </c>
      <c r="C6" s="28" t="s">
        <v>210</v>
      </c>
      <c r="D6" s="29" t="s">
        <v>18</v>
      </c>
      <c r="E6" s="40" t="s">
        <v>427</v>
      </c>
      <c r="F6" s="22">
        <v>45000</v>
      </c>
      <c r="G6" s="22">
        <v>600000</v>
      </c>
      <c r="H6" s="23">
        <f>12000+45000</f>
        <v>57000</v>
      </c>
      <c r="I6" s="22">
        <f>G6-H6</f>
        <v>543000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97</v>
      </c>
      <c r="C7" s="28" t="s">
        <v>429</v>
      </c>
      <c r="D7" s="29" t="s">
        <v>18</v>
      </c>
      <c r="E7" s="40" t="s">
        <v>99</v>
      </c>
      <c r="F7" s="22">
        <v>5550</v>
      </c>
      <c r="G7" s="22">
        <v>47500</v>
      </c>
      <c r="H7" s="23">
        <f>3050+4250+6200+3250+2950+10450+1400+3000+3839+1850+5550</f>
        <v>45789</v>
      </c>
      <c r="I7" s="22">
        <f t="shared" ref="I7:I8" si="1">G7-H7</f>
        <v>1711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389</v>
      </c>
      <c r="C8" s="28" t="s">
        <v>242</v>
      </c>
      <c r="D8" s="29" t="s">
        <v>77</v>
      </c>
      <c r="E8" s="40" t="s">
        <v>96</v>
      </c>
      <c r="F8" s="22">
        <v>4000</v>
      </c>
      <c r="G8" s="22">
        <v>200000</v>
      </c>
      <c r="H8" s="23">
        <f>81000+4000+4000+4000</f>
        <v>93000</v>
      </c>
      <c r="I8" s="22">
        <f t="shared" si="1"/>
        <v>107000</v>
      </c>
      <c r="J8" s="22" t="s">
        <v>16</v>
      </c>
      <c r="K8" s="24"/>
      <c r="L8" s="25"/>
    </row>
    <row r="9" spans="1:12" ht="15.75" x14ac:dyDescent="0.25">
      <c r="A9" s="20" t="s">
        <v>51</v>
      </c>
      <c r="B9" s="21" t="s">
        <v>433</v>
      </c>
      <c r="C9" s="28" t="s">
        <v>434</v>
      </c>
      <c r="D9" s="29" t="s">
        <v>440</v>
      </c>
      <c r="E9" s="40" t="s">
        <v>435</v>
      </c>
      <c r="F9" s="22">
        <f>175.4+24.4</f>
        <v>199.8</v>
      </c>
      <c r="G9" s="22">
        <v>524</v>
      </c>
      <c r="H9" s="23">
        <f>256.7+175.4+24.4</f>
        <v>456.5</v>
      </c>
      <c r="I9" s="22">
        <f t="shared" si="0"/>
        <v>67.5</v>
      </c>
      <c r="J9" s="22" t="s">
        <v>16</v>
      </c>
      <c r="K9" s="24"/>
      <c r="L9" s="25"/>
    </row>
    <row r="10" spans="1:12" ht="15.75" x14ac:dyDescent="0.25">
      <c r="A10" s="20" t="s">
        <v>20</v>
      </c>
      <c r="B10" s="21" t="s">
        <v>436</v>
      </c>
      <c r="C10" s="28" t="s">
        <v>437</v>
      </c>
      <c r="D10" s="29" t="s">
        <v>42</v>
      </c>
      <c r="E10" s="40" t="s">
        <v>365</v>
      </c>
      <c r="F10" s="22">
        <v>4880</v>
      </c>
      <c r="G10" s="22">
        <v>20000</v>
      </c>
      <c r="H10" s="23">
        <f>15000+4880</f>
        <v>19880</v>
      </c>
      <c r="I10" s="22">
        <f t="shared" si="0"/>
        <v>120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448</v>
      </c>
      <c r="C11" s="28" t="s">
        <v>449</v>
      </c>
      <c r="D11" s="29" t="s">
        <v>42</v>
      </c>
      <c r="E11" s="40" t="s">
        <v>450</v>
      </c>
      <c r="F11" s="22">
        <v>4500</v>
      </c>
      <c r="G11" s="22">
        <v>8000</v>
      </c>
      <c r="H11" s="23">
        <v>4500</v>
      </c>
      <c r="I11" s="22">
        <f>G11-H11</f>
        <v>3500</v>
      </c>
      <c r="J11" s="22" t="s">
        <v>16</v>
      </c>
      <c r="K11" s="24"/>
      <c r="L11" s="25"/>
    </row>
    <row r="12" spans="1:12" ht="15.75" x14ac:dyDescent="0.25">
      <c r="A12" s="20" t="s">
        <v>30</v>
      </c>
      <c r="B12" s="21" t="s">
        <v>438</v>
      </c>
      <c r="C12" s="28" t="s">
        <v>422</v>
      </c>
      <c r="D12" s="29" t="s">
        <v>48</v>
      </c>
      <c r="E12" s="40" t="s">
        <v>439</v>
      </c>
      <c r="F12" s="22">
        <v>20000</v>
      </c>
      <c r="G12" s="22">
        <v>44000</v>
      </c>
      <c r="H12" s="23">
        <f>20000+20000</f>
        <v>40000</v>
      </c>
      <c r="I12" s="22">
        <f t="shared" si="0"/>
        <v>4000</v>
      </c>
      <c r="J12" s="22" t="s">
        <v>23</v>
      </c>
      <c r="K12" s="24"/>
      <c r="L12" s="25"/>
    </row>
    <row r="13" spans="1:12" ht="15.75" x14ac:dyDescent="0.25">
      <c r="A13" s="20" t="s">
        <v>19</v>
      </c>
      <c r="B13" s="21" t="s">
        <v>451</v>
      </c>
      <c r="C13" s="28" t="s">
        <v>214</v>
      </c>
      <c r="D13" s="29" t="s">
        <v>452</v>
      </c>
      <c r="E13" s="40" t="s">
        <v>55</v>
      </c>
      <c r="F13" s="22">
        <v>5000</v>
      </c>
      <c r="G13" s="22">
        <v>25000</v>
      </c>
      <c r="H13" s="23">
        <v>5000</v>
      </c>
      <c r="I13" s="22">
        <f>G13-H13</f>
        <v>20000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78</v>
      </c>
      <c r="C14" s="28" t="s">
        <v>15</v>
      </c>
      <c r="D14" s="29" t="s">
        <v>73</v>
      </c>
      <c r="E14" s="40" t="s">
        <v>453</v>
      </c>
      <c r="F14" s="22">
        <v>7600</v>
      </c>
      <c r="G14" s="22">
        <v>20000</v>
      </c>
      <c r="H14" s="23">
        <v>7600</v>
      </c>
      <c r="I14" s="22">
        <f t="shared" ref="I14" si="2">G14-H14</f>
        <v>12400</v>
      </c>
      <c r="J14" s="22" t="s">
        <v>16</v>
      </c>
      <c r="K14" s="24"/>
      <c r="L14" s="25"/>
    </row>
    <row r="15" spans="1:12" ht="15.75" x14ac:dyDescent="0.25">
      <c r="A15" s="20" t="s">
        <v>44</v>
      </c>
      <c r="B15" s="21" t="s">
        <v>444</v>
      </c>
      <c r="C15" s="28" t="s">
        <v>15</v>
      </c>
      <c r="D15" s="29" t="s">
        <v>47</v>
      </c>
      <c r="E15" s="40" t="s">
        <v>45</v>
      </c>
      <c r="F15" s="22">
        <v>20000</v>
      </c>
      <c r="G15" s="22">
        <v>500000</v>
      </c>
      <c r="H15" s="23">
        <v>35000</v>
      </c>
      <c r="I15" s="22">
        <f>G15-H15</f>
        <v>465000</v>
      </c>
      <c r="J15" s="22" t="s">
        <v>16</v>
      </c>
      <c r="K15" s="24"/>
      <c r="L15" s="25"/>
    </row>
    <row r="16" spans="1:12" ht="15.75" x14ac:dyDescent="0.25">
      <c r="A16" s="20" t="s">
        <v>40</v>
      </c>
      <c r="B16" s="21" t="s">
        <v>454</v>
      </c>
      <c r="C16" s="28" t="s">
        <v>15</v>
      </c>
      <c r="D16" s="29" t="s">
        <v>68</v>
      </c>
      <c r="E16" s="40" t="s">
        <v>69</v>
      </c>
      <c r="F16" s="22">
        <v>50000</v>
      </c>
      <c r="G16" s="22">
        <v>2000000</v>
      </c>
      <c r="H16" s="23">
        <v>50000</v>
      </c>
      <c r="I16" s="22">
        <f t="shared" si="0"/>
        <v>1950000</v>
      </c>
      <c r="J16" s="22" t="s">
        <v>16</v>
      </c>
      <c r="K16" s="24"/>
      <c r="L16" s="25"/>
    </row>
    <row r="17" spans="1:12" ht="15.75" x14ac:dyDescent="0.25">
      <c r="A17" s="20" t="s">
        <v>19</v>
      </c>
      <c r="B17" s="21" t="s">
        <v>217</v>
      </c>
      <c r="C17" s="28" t="s">
        <v>15</v>
      </c>
      <c r="D17" s="29" t="s">
        <v>53</v>
      </c>
      <c r="E17" s="40" t="s">
        <v>218</v>
      </c>
      <c r="F17" s="22">
        <v>9200</v>
      </c>
      <c r="G17" s="22">
        <v>250000</v>
      </c>
      <c r="H17" s="23">
        <f>83050+9200</f>
        <v>92250</v>
      </c>
      <c r="I17" s="22">
        <f t="shared" si="0"/>
        <v>157750</v>
      </c>
      <c r="J17" s="22" t="s">
        <v>16</v>
      </c>
      <c r="K17" s="24"/>
      <c r="L17" s="25"/>
    </row>
    <row r="18" spans="1:12" ht="15.75" x14ac:dyDescent="0.25">
      <c r="A18" s="20" t="s">
        <v>82</v>
      </c>
      <c r="B18" s="21" t="s">
        <v>163</v>
      </c>
      <c r="C18" s="28" t="s">
        <v>15</v>
      </c>
      <c r="D18" s="29" t="s">
        <v>374</v>
      </c>
      <c r="E18" s="40" t="s">
        <v>81</v>
      </c>
      <c r="F18" s="22">
        <v>310</v>
      </c>
      <c r="G18" s="22">
        <v>2000</v>
      </c>
      <c r="H18" s="23">
        <f>590+160+250+310</f>
        <v>1310</v>
      </c>
      <c r="I18" s="22">
        <f>G18-H18</f>
        <v>690</v>
      </c>
      <c r="J18" s="22" t="s">
        <v>16</v>
      </c>
      <c r="K18" s="24"/>
      <c r="L18" s="25"/>
    </row>
    <row r="19" spans="1:12" ht="16.5" thickBot="1" x14ac:dyDescent="0.3">
      <c r="A19" s="30"/>
      <c r="B19" s="31"/>
      <c r="C19" s="32"/>
      <c r="D19" s="33"/>
      <c r="E19" s="41"/>
      <c r="F19" s="34"/>
      <c r="G19" s="34"/>
      <c r="H19" s="35"/>
      <c r="I19" s="34"/>
      <c r="J19" s="34" t="s">
        <v>64</v>
      </c>
      <c r="K19" s="36"/>
      <c r="L19" s="3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L27"/>
  <sheetViews>
    <sheetView workbookViewId="0">
      <pane xSplit="3" topLeftCell="E1" activePane="topRight" state="frozen"/>
      <selection pane="topRight" activeCell="A26" sqref="A26:XFD26"/>
    </sheetView>
  </sheetViews>
  <sheetFormatPr defaultRowHeight="15" x14ac:dyDescent="0.25"/>
  <cols>
    <col min="1" max="1" width="10" customWidth="1"/>
    <col min="2" max="2" width="12.28515625" customWidth="1"/>
    <col min="3" max="3" width="25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113</v>
      </c>
      <c r="C4" s="26" t="s">
        <v>88</v>
      </c>
      <c r="D4" s="27" t="s">
        <v>443</v>
      </c>
      <c r="E4" s="39" t="s">
        <v>90</v>
      </c>
      <c r="F4" s="16">
        <f>67.2+123.8</f>
        <v>191</v>
      </c>
      <c r="G4" s="16">
        <v>1500</v>
      </c>
      <c r="H4" s="17">
        <f>848.8+191</f>
        <v>1039.8</v>
      </c>
      <c r="I4" s="16">
        <f t="shared" ref="I4:I25" si="0">G4-H4</f>
        <v>460.20000000000005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445</v>
      </c>
      <c r="C5" s="28" t="s">
        <v>83</v>
      </c>
      <c r="D5" s="29" t="s">
        <v>446</v>
      </c>
      <c r="E5" s="40" t="s">
        <v>447</v>
      </c>
      <c r="F5" s="22">
        <v>15000</v>
      </c>
      <c r="G5" s="22">
        <v>15000</v>
      </c>
      <c r="H5" s="23">
        <f>1000+15000</f>
        <v>16000</v>
      </c>
      <c r="I5" s="22">
        <f t="shared" si="0"/>
        <v>-1000</v>
      </c>
      <c r="J5" s="22" t="s">
        <v>24</v>
      </c>
      <c r="K5" s="24"/>
      <c r="L5" s="25"/>
    </row>
    <row r="6" spans="1:12" ht="15.75" x14ac:dyDescent="0.25">
      <c r="A6" s="20" t="s">
        <v>22</v>
      </c>
      <c r="B6" s="21" t="s">
        <v>455</v>
      </c>
      <c r="C6" s="28" t="s">
        <v>210</v>
      </c>
      <c r="D6" s="29" t="s">
        <v>211</v>
      </c>
      <c r="E6" s="40" t="s">
        <v>212</v>
      </c>
      <c r="F6" s="22">
        <v>575.70000000000005</v>
      </c>
      <c r="G6" s="22">
        <v>5000</v>
      </c>
      <c r="H6" s="23">
        <v>575.70000000000005</v>
      </c>
      <c r="I6" s="22">
        <f>G6-H6</f>
        <v>4424.3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97</v>
      </c>
      <c r="C7" s="28" t="s">
        <v>429</v>
      </c>
      <c r="D7" s="29" t="s">
        <v>18</v>
      </c>
      <c r="E7" s="40" t="s">
        <v>99</v>
      </c>
      <c r="F7" s="22">
        <v>750</v>
      </c>
      <c r="G7" s="22">
        <v>47500</v>
      </c>
      <c r="H7" s="23">
        <f>3050+4250+6200+3250+2950+10450+1400+3000+3839+1850+5550+750</f>
        <v>46539</v>
      </c>
      <c r="I7" s="22">
        <f t="shared" ref="I7:I8" si="1">G7-H7</f>
        <v>961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389</v>
      </c>
      <c r="C8" s="28" t="s">
        <v>242</v>
      </c>
      <c r="D8" s="29" t="s">
        <v>77</v>
      </c>
      <c r="E8" s="40" t="s">
        <v>96</v>
      </c>
      <c r="F8" s="22">
        <v>4000</v>
      </c>
      <c r="G8" s="22">
        <v>200000</v>
      </c>
      <c r="H8" s="23">
        <f>81000+4000+4000+4000+4000</f>
        <v>97000</v>
      </c>
      <c r="I8" s="22">
        <f t="shared" si="1"/>
        <v>103000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456</v>
      </c>
      <c r="C9" s="28" t="s">
        <v>457</v>
      </c>
      <c r="D9" s="29" t="s">
        <v>432</v>
      </c>
      <c r="E9" s="40" t="s">
        <v>458</v>
      </c>
      <c r="F9" s="22">
        <v>2500</v>
      </c>
      <c r="G9" s="22">
        <v>10000</v>
      </c>
      <c r="H9" s="23">
        <v>2500</v>
      </c>
      <c r="I9" s="22">
        <f t="shared" si="0"/>
        <v>7500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426</v>
      </c>
      <c r="C10" s="28" t="s">
        <v>210</v>
      </c>
      <c r="D10" s="29" t="s">
        <v>18</v>
      </c>
      <c r="E10" s="40" t="s">
        <v>427</v>
      </c>
      <c r="F10" s="22">
        <v>2500</v>
      </c>
      <c r="G10" s="22">
        <v>10000</v>
      </c>
      <c r="H10" s="23">
        <v>2500</v>
      </c>
      <c r="I10" s="22">
        <f>G10-H10</f>
        <v>7500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448</v>
      </c>
      <c r="C11" s="28" t="s">
        <v>449</v>
      </c>
      <c r="D11" s="29" t="s">
        <v>42</v>
      </c>
      <c r="E11" s="40" t="s">
        <v>450</v>
      </c>
      <c r="F11" s="22">
        <v>2610</v>
      </c>
      <c r="G11" s="22">
        <v>8000</v>
      </c>
      <c r="H11" s="23">
        <f>4500+2610</f>
        <v>7110</v>
      </c>
      <c r="I11" s="22">
        <f>G11-H11</f>
        <v>890</v>
      </c>
      <c r="J11" s="22" t="s">
        <v>16</v>
      </c>
      <c r="K11" s="24"/>
      <c r="L11" s="25"/>
    </row>
    <row r="12" spans="1:12" ht="15.75" x14ac:dyDescent="0.25">
      <c r="A12" s="20" t="s">
        <v>30</v>
      </c>
      <c r="B12" s="21" t="s">
        <v>421</v>
      </c>
      <c r="C12" s="28" t="s">
        <v>422</v>
      </c>
      <c r="D12" s="29" t="s">
        <v>48</v>
      </c>
      <c r="E12" s="40" t="s">
        <v>49</v>
      </c>
      <c r="F12" s="22">
        <v>20000</v>
      </c>
      <c r="G12" s="22">
        <v>135000</v>
      </c>
      <c r="H12" s="23">
        <f>36000+20000+20000</f>
        <v>76000</v>
      </c>
      <c r="I12" s="22">
        <f>G12-H12</f>
        <v>59000</v>
      </c>
      <c r="J12" s="22" t="s">
        <v>16</v>
      </c>
      <c r="K12" s="24"/>
      <c r="L12" s="25"/>
    </row>
    <row r="13" spans="1:12" ht="15.75" x14ac:dyDescent="0.25">
      <c r="A13" s="20" t="s">
        <v>459</v>
      </c>
      <c r="B13" s="21" t="s">
        <v>460</v>
      </c>
      <c r="C13" s="28" t="s">
        <v>330</v>
      </c>
      <c r="D13" s="29" t="s">
        <v>35</v>
      </c>
      <c r="E13" s="40" t="s">
        <v>331</v>
      </c>
      <c r="F13" s="22">
        <v>12</v>
      </c>
      <c r="G13" s="22">
        <v>12</v>
      </c>
      <c r="H13" s="23">
        <v>12</v>
      </c>
      <c r="I13" s="22">
        <f>G13-H13</f>
        <v>0</v>
      </c>
      <c r="J13" s="22" t="s">
        <v>23</v>
      </c>
      <c r="K13" s="24"/>
      <c r="L13" s="25"/>
    </row>
    <row r="14" spans="1:12" ht="15.75" x14ac:dyDescent="0.25">
      <c r="A14" s="20" t="s">
        <v>51</v>
      </c>
      <c r="B14" s="21" t="s">
        <v>460</v>
      </c>
      <c r="C14" s="28" t="s">
        <v>330</v>
      </c>
      <c r="D14" s="29" t="s">
        <v>293</v>
      </c>
      <c r="E14" s="40" t="s">
        <v>46</v>
      </c>
      <c r="F14" s="22">
        <v>58.4</v>
      </c>
      <c r="G14" s="22">
        <v>60</v>
      </c>
      <c r="H14" s="23">
        <v>58.4</v>
      </c>
      <c r="I14" s="22">
        <f>G14-H14</f>
        <v>1.6000000000000014</v>
      </c>
      <c r="J14" s="22" t="s">
        <v>23</v>
      </c>
      <c r="K14" s="24"/>
      <c r="L14" s="25"/>
    </row>
    <row r="15" spans="1:12" ht="15.75" x14ac:dyDescent="0.25">
      <c r="A15" s="20" t="s">
        <v>21</v>
      </c>
      <c r="B15" s="21" t="s">
        <v>78</v>
      </c>
      <c r="C15" s="28" t="s">
        <v>15</v>
      </c>
      <c r="D15" s="29" t="s">
        <v>73</v>
      </c>
      <c r="E15" s="40" t="s">
        <v>453</v>
      </c>
      <c r="F15" s="22">
        <v>3300</v>
      </c>
      <c r="G15" s="22">
        <v>20000</v>
      </c>
      <c r="H15" s="23">
        <f>7600+3300</f>
        <v>10900</v>
      </c>
      <c r="I15" s="22">
        <f t="shared" ref="I15" si="2">G15-H15</f>
        <v>9100</v>
      </c>
      <c r="J15" s="22" t="s">
        <v>16</v>
      </c>
      <c r="K15" s="24"/>
      <c r="L15" s="25"/>
    </row>
    <row r="16" spans="1:12" ht="15.75" x14ac:dyDescent="0.25">
      <c r="A16" s="20" t="s">
        <v>44</v>
      </c>
      <c r="B16" s="21" t="s">
        <v>444</v>
      </c>
      <c r="C16" s="28" t="s">
        <v>15</v>
      </c>
      <c r="D16" s="29" t="s">
        <v>47</v>
      </c>
      <c r="E16" s="40" t="s">
        <v>45</v>
      </c>
      <c r="F16" s="22">
        <v>26000</v>
      </c>
      <c r="G16" s="22">
        <v>500000</v>
      </c>
      <c r="H16" s="23">
        <f>35000+26000</f>
        <v>61000</v>
      </c>
      <c r="I16" s="22">
        <f>G16-H16</f>
        <v>439000</v>
      </c>
      <c r="J16" s="22" t="s">
        <v>16</v>
      </c>
      <c r="K16" s="24"/>
      <c r="L16" s="25"/>
    </row>
    <row r="17" spans="1:12" ht="15.75" x14ac:dyDescent="0.25">
      <c r="A17" s="20" t="s">
        <v>40</v>
      </c>
      <c r="B17" s="21" t="s">
        <v>454</v>
      </c>
      <c r="C17" s="28" t="s">
        <v>15</v>
      </c>
      <c r="D17" s="29" t="s">
        <v>68</v>
      </c>
      <c r="E17" s="40" t="s">
        <v>69</v>
      </c>
      <c r="F17" s="22">
        <v>37000</v>
      </c>
      <c r="G17" s="22">
        <v>2000000</v>
      </c>
      <c r="H17" s="23">
        <f>50000+37000</f>
        <v>87000</v>
      </c>
      <c r="I17" s="22">
        <f t="shared" si="0"/>
        <v>1913000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423</v>
      </c>
      <c r="C18" s="28" t="s">
        <v>287</v>
      </c>
      <c r="D18" s="29" t="s">
        <v>18</v>
      </c>
      <c r="E18" s="40" t="s">
        <v>424</v>
      </c>
      <c r="F18" s="22">
        <v>2500</v>
      </c>
      <c r="G18" s="22">
        <v>50000</v>
      </c>
      <c r="H18" s="23">
        <f>30000+2500</f>
        <v>32500</v>
      </c>
      <c r="I18" s="22">
        <f t="shared" si="0"/>
        <v>17500</v>
      </c>
      <c r="J18" s="22" t="s">
        <v>16</v>
      </c>
      <c r="K18" s="24"/>
      <c r="L18" s="25"/>
    </row>
    <row r="19" spans="1:12" ht="15.75" x14ac:dyDescent="0.25">
      <c r="A19" s="20" t="s">
        <v>51</v>
      </c>
      <c r="B19" s="21" t="s">
        <v>474</v>
      </c>
      <c r="C19" s="28" t="s">
        <v>475</v>
      </c>
      <c r="D19" s="29" t="s">
        <v>476</v>
      </c>
      <c r="E19" s="40" t="s">
        <v>477</v>
      </c>
      <c r="F19" s="22">
        <v>71.099999999999994</v>
      </c>
      <c r="G19" s="22">
        <v>60</v>
      </c>
      <c r="H19" s="23">
        <v>71.099999999999994</v>
      </c>
      <c r="I19" s="22">
        <f t="shared" ref="I19:I24" si="3">G19-H19</f>
        <v>-11.099999999999994</v>
      </c>
      <c r="J19" s="22" t="s">
        <v>24</v>
      </c>
      <c r="K19" s="24"/>
      <c r="L19" s="25"/>
    </row>
    <row r="20" spans="1:12" ht="15.75" x14ac:dyDescent="0.25">
      <c r="A20" s="20" t="s">
        <v>51</v>
      </c>
      <c r="B20" s="21" t="s">
        <v>474</v>
      </c>
      <c r="C20" s="28" t="s">
        <v>478</v>
      </c>
      <c r="D20" s="29" t="s">
        <v>211</v>
      </c>
      <c r="E20" s="40" t="s">
        <v>479</v>
      </c>
      <c r="F20" s="22">
        <v>101.9</v>
      </c>
      <c r="G20" s="22">
        <v>100</v>
      </c>
      <c r="H20" s="23">
        <v>101.9</v>
      </c>
      <c r="I20" s="22">
        <f t="shared" si="3"/>
        <v>-1.9000000000000057</v>
      </c>
      <c r="J20" s="22" t="s">
        <v>23</v>
      </c>
      <c r="K20" s="24"/>
      <c r="L20" s="25"/>
    </row>
    <row r="21" spans="1:12" ht="15.75" x14ac:dyDescent="0.25">
      <c r="A21" s="20" t="s">
        <v>20</v>
      </c>
      <c r="B21" s="21" t="s">
        <v>471</v>
      </c>
      <c r="C21" s="28" t="s">
        <v>472</v>
      </c>
      <c r="D21" s="29" t="s">
        <v>18</v>
      </c>
      <c r="E21" s="40" t="s">
        <v>473</v>
      </c>
      <c r="F21" s="22">
        <v>5310</v>
      </c>
      <c r="G21" s="22">
        <v>5000</v>
      </c>
      <c r="H21" s="23">
        <v>5310</v>
      </c>
      <c r="I21" s="22">
        <f t="shared" si="3"/>
        <v>-310</v>
      </c>
      <c r="J21" s="22"/>
      <c r="K21" s="24"/>
      <c r="L21" s="25"/>
    </row>
    <row r="22" spans="1:12" ht="15.75" x14ac:dyDescent="0.25">
      <c r="A22" s="20" t="s">
        <v>20</v>
      </c>
      <c r="B22" s="21" t="s">
        <v>467</v>
      </c>
      <c r="C22" s="28" t="s">
        <v>468</v>
      </c>
      <c r="D22" s="29" t="s">
        <v>469</v>
      </c>
      <c r="E22" s="40" t="s">
        <v>470</v>
      </c>
      <c r="F22" s="22">
        <v>5900</v>
      </c>
      <c r="G22" s="22">
        <v>20000</v>
      </c>
      <c r="H22" s="23">
        <v>5900</v>
      </c>
      <c r="I22" s="22">
        <f t="shared" si="3"/>
        <v>14100</v>
      </c>
      <c r="J22" s="22" t="s">
        <v>16</v>
      </c>
      <c r="K22" s="24"/>
      <c r="L22" s="25"/>
    </row>
    <row r="23" spans="1:12" ht="15.75" x14ac:dyDescent="0.25">
      <c r="A23" s="20" t="s">
        <v>21</v>
      </c>
      <c r="B23" s="21" t="s">
        <v>372</v>
      </c>
      <c r="C23" s="28" t="s">
        <v>15</v>
      </c>
      <c r="D23" s="29" t="s">
        <v>344</v>
      </c>
      <c r="E23" s="40" t="s">
        <v>466</v>
      </c>
      <c r="F23" s="22">
        <v>36000</v>
      </c>
      <c r="G23" s="22">
        <v>100000</v>
      </c>
      <c r="H23" s="23">
        <v>36000</v>
      </c>
      <c r="I23" s="22">
        <f t="shared" si="3"/>
        <v>64000</v>
      </c>
      <c r="J23" s="22" t="s">
        <v>16</v>
      </c>
      <c r="K23" s="24"/>
      <c r="L23" s="25"/>
    </row>
    <row r="24" spans="1:12" ht="15.75" x14ac:dyDescent="0.25">
      <c r="A24" s="20" t="s">
        <v>17</v>
      </c>
      <c r="B24" s="21" t="s">
        <v>464</v>
      </c>
      <c r="C24" s="28" t="s">
        <v>62</v>
      </c>
      <c r="D24" s="29" t="s">
        <v>344</v>
      </c>
      <c r="E24" s="40" t="s">
        <v>465</v>
      </c>
      <c r="F24" s="22">
        <v>450</v>
      </c>
      <c r="G24" s="22">
        <v>5000</v>
      </c>
      <c r="H24" s="23">
        <v>450</v>
      </c>
      <c r="I24" s="22">
        <f t="shared" si="3"/>
        <v>4550</v>
      </c>
      <c r="J24" s="22" t="s">
        <v>16</v>
      </c>
      <c r="K24" s="24"/>
      <c r="L24" s="25"/>
    </row>
    <row r="25" spans="1:12" ht="15.75" x14ac:dyDescent="0.25">
      <c r="A25" s="20" t="s">
        <v>228</v>
      </c>
      <c r="B25" s="21" t="s">
        <v>461</v>
      </c>
      <c r="C25" s="28" t="s">
        <v>462</v>
      </c>
      <c r="D25" s="29" t="s">
        <v>18</v>
      </c>
      <c r="E25" s="40" t="s">
        <v>463</v>
      </c>
      <c r="F25" s="22">
        <v>20000</v>
      </c>
      <c r="G25" s="22">
        <v>20000</v>
      </c>
      <c r="H25" s="23">
        <v>20000</v>
      </c>
      <c r="I25" s="22">
        <f t="shared" si="0"/>
        <v>0</v>
      </c>
      <c r="J25" s="22" t="s">
        <v>23</v>
      </c>
      <c r="K25" s="24"/>
      <c r="L25" s="25"/>
    </row>
    <row r="26" spans="1:12" ht="15.75" x14ac:dyDescent="0.25">
      <c r="A26" s="20" t="s">
        <v>82</v>
      </c>
      <c r="B26" s="21" t="s">
        <v>163</v>
      </c>
      <c r="C26" s="28" t="s">
        <v>15</v>
      </c>
      <c r="D26" s="29" t="s">
        <v>374</v>
      </c>
      <c r="E26" s="40" t="s">
        <v>81</v>
      </c>
      <c r="F26" s="22">
        <v>165</v>
      </c>
      <c r="G26" s="22">
        <v>2000</v>
      </c>
      <c r="H26" s="23">
        <f>590+160+250+310+165</f>
        <v>1475</v>
      </c>
      <c r="I26" s="22">
        <f>G26-H26</f>
        <v>525</v>
      </c>
      <c r="J26" s="22" t="s">
        <v>16</v>
      </c>
      <c r="K26" s="24"/>
      <c r="L26" s="25"/>
    </row>
    <row r="27" spans="1:12" ht="16.5" thickBot="1" x14ac:dyDescent="0.3">
      <c r="A27" s="30"/>
      <c r="B27" s="31"/>
      <c r="C27" s="32"/>
      <c r="D27" s="33"/>
      <c r="E27" s="41"/>
      <c r="F27" s="34"/>
      <c r="G27" s="34"/>
      <c r="H27" s="35"/>
      <c r="I27" s="34"/>
      <c r="J27" s="34" t="s">
        <v>64</v>
      </c>
      <c r="K27" s="36"/>
      <c r="L27" s="3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L42"/>
  <sheetViews>
    <sheetView workbookViewId="0">
      <pane xSplit="3" topLeftCell="D1" activePane="topRight" state="frozen"/>
      <selection pane="topRight" activeCell="A5" sqref="A5:XFD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113</v>
      </c>
      <c r="C4" s="26" t="s">
        <v>88</v>
      </c>
      <c r="D4" s="27" t="s">
        <v>443</v>
      </c>
      <c r="E4" s="39" t="s">
        <v>90</v>
      </c>
      <c r="F4" s="16">
        <v>536.79999999999995</v>
      </c>
      <c r="G4" s="16">
        <v>1500</v>
      </c>
      <c r="H4" s="17">
        <f>848.8+191+536.8</f>
        <v>1576.6</v>
      </c>
      <c r="I4" s="16">
        <f t="shared" ref="I4:I15" si="0">G4-H4</f>
        <v>-76.599999999999909</v>
      </c>
      <c r="J4" s="16" t="s">
        <v>24</v>
      </c>
      <c r="K4" s="18"/>
      <c r="L4" s="19"/>
    </row>
    <row r="5" spans="1:12" ht="15.75" x14ac:dyDescent="0.25">
      <c r="A5" s="20" t="s">
        <v>51</v>
      </c>
      <c r="B5" s="21" t="s">
        <v>480</v>
      </c>
      <c r="C5" s="28" t="s">
        <v>88</v>
      </c>
      <c r="D5" s="29" t="s">
        <v>43</v>
      </c>
      <c r="E5" s="40" t="s">
        <v>481</v>
      </c>
      <c r="F5" s="22">
        <v>1008.6</v>
      </c>
      <c r="G5" s="22">
        <v>1000</v>
      </c>
      <c r="H5" s="23">
        <v>1008.6</v>
      </c>
      <c r="I5" s="22">
        <f t="shared" si="0"/>
        <v>-8.6000000000000227</v>
      </c>
      <c r="J5" s="22" t="s">
        <v>24</v>
      </c>
      <c r="K5" s="24"/>
      <c r="L5" s="25"/>
    </row>
    <row r="6" spans="1:12" ht="15.75" x14ac:dyDescent="0.25">
      <c r="A6" s="20" t="s">
        <v>22</v>
      </c>
      <c r="B6" s="21" t="s">
        <v>455</v>
      </c>
      <c r="C6" s="28" t="s">
        <v>210</v>
      </c>
      <c r="D6" s="29" t="s">
        <v>211</v>
      </c>
      <c r="E6" s="40" t="s">
        <v>212</v>
      </c>
      <c r="F6" s="22">
        <v>1453.7</v>
      </c>
      <c r="G6" s="22">
        <v>5000</v>
      </c>
      <c r="H6" s="23">
        <f>575.7+1453.7</f>
        <v>2029.4</v>
      </c>
      <c r="I6" s="22">
        <f>G6-H6</f>
        <v>2970.6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482</v>
      </c>
      <c r="C7" s="28" t="s">
        <v>483</v>
      </c>
      <c r="D7" s="29" t="s">
        <v>18</v>
      </c>
      <c r="E7" s="40" t="s">
        <v>484</v>
      </c>
      <c r="F7" s="22">
        <v>5190</v>
      </c>
      <c r="G7" s="22">
        <v>5000</v>
      </c>
      <c r="H7" s="23">
        <v>5190</v>
      </c>
      <c r="I7" s="22">
        <f t="shared" ref="I7:I8" si="1">G7-H7</f>
        <v>-190</v>
      </c>
      <c r="J7" s="22" t="s">
        <v>24</v>
      </c>
      <c r="K7" s="24"/>
      <c r="L7" s="25"/>
    </row>
    <row r="8" spans="1:12" ht="15.75" x14ac:dyDescent="0.25">
      <c r="A8" s="20" t="s">
        <v>14</v>
      </c>
      <c r="B8" s="21" t="s">
        <v>389</v>
      </c>
      <c r="C8" s="28" t="s">
        <v>242</v>
      </c>
      <c r="D8" s="29" t="s">
        <v>77</v>
      </c>
      <c r="E8" s="40" t="s">
        <v>96</v>
      </c>
      <c r="F8" s="22">
        <f>8500+8500</f>
        <v>17000</v>
      </c>
      <c r="G8" s="22">
        <v>200000</v>
      </c>
      <c r="H8" s="23">
        <f>81000+4000+4000+4000+4000+17000</f>
        <v>114000</v>
      </c>
      <c r="I8" s="22">
        <f t="shared" si="1"/>
        <v>86000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456</v>
      </c>
      <c r="C9" s="28" t="s">
        <v>457</v>
      </c>
      <c r="D9" s="29" t="s">
        <v>432</v>
      </c>
      <c r="E9" s="40" t="s">
        <v>458</v>
      </c>
      <c r="F9" s="22">
        <v>5500</v>
      </c>
      <c r="G9" s="22">
        <v>10000</v>
      </c>
      <c r="H9" s="23">
        <f>2500+5500</f>
        <v>8000</v>
      </c>
      <c r="I9" s="22">
        <f t="shared" si="0"/>
        <v>2000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487</v>
      </c>
      <c r="C10" s="28" t="s">
        <v>15</v>
      </c>
      <c r="D10" s="29" t="s">
        <v>344</v>
      </c>
      <c r="E10" s="40" t="s">
        <v>361</v>
      </c>
      <c r="F10" s="22">
        <v>96000</v>
      </c>
      <c r="G10" s="22">
        <v>100000</v>
      </c>
      <c r="H10" s="23">
        <v>96000</v>
      </c>
      <c r="I10" s="22">
        <f>G10-H10</f>
        <v>4000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486</v>
      </c>
      <c r="C11" s="28" t="s">
        <v>15</v>
      </c>
      <c r="D11" s="29" t="s">
        <v>344</v>
      </c>
      <c r="E11" s="40" t="s">
        <v>466</v>
      </c>
      <c r="F11" s="22">
        <v>96000</v>
      </c>
      <c r="G11" s="22">
        <v>100000</v>
      </c>
      <c r="H11" s="23">
        <f>36000+96000</f>
        <v>132000</v>
      </c>
      <c r="I11" s="22">
        <f>G11-H11</f>
        <v>-32000</v>
      </c>
      <c r="J11" s="22" t="s">
        <v>24</v>
      </c>
      <c r="K11" s="24"/>
      <c r="L11" s="25"/>
    </row>
    <row r="12" spans="1:12" ht="15.75" x14ac:dyDescent="0.25">
      <c r="A12" s="20" t="s">
        <v>485</v>
      </c>
      <c r="B12" s="21" t="s">
        <v>451</v>
      </c>
      <c r="C12" s="28" t="s">
        <v>214</v>
      </c>
      <c r="D12" s="29" t="s">
        <v>452</v>
      </c>
      <c r="E12" s="40" t="s">
        <v>55</v>
      </c>
      <c r="F12" s="22">
        <v>13000</v>
      </c>
      <c r="G12" s="22">
        <v>25000</v>
      </c>
      <c r="H12" s="23">
        <v>18000</v>
      </c>
      <c r="I12" s="22">
        <f>G12-H12</f>
        <v>7000</v>
      </c>
      <c r="J12" s="22" t="s">
        <v>16</v>
      </c>
      <c r="K12" s="24"/>
      <c r="L12" s="25"/>
    </row>
    <row r="13" spans="1:12" ht="15.75" x14ac:dyDescent="0.25">
      <c r="A13" s="20" t="s">
        <v>19</v>
      </c>
      <c r="B13" s="21" t="s">
        <v>217</v>
      </c>
      <c r="C13" s="28" t="s">
        <v>15</v>
      </c>
      <c r="D13" s="29" t="s">
        <v>53</v>
      </c>
      <c r="E13" s="40" t="s">
        <v>218</v>
      </c>
      <c r="F13" s="22">
        <v>18150</v>
      </c>
      <c r="G13" s="22">
        <v>250000</v>
      </c>
      <c r="H13" s="23">
        <v>110400</v>
      </c>
      <c r="I13" s="22">
        <f>G13-H13</f>
        <v>139600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97</v>
      </c>
      <c r="C14" s="28" t="s">
        <v>429</v>
      </c>
      <c r="D14" s="29" t="s">
        <v>18</v>
      </c>
      <c r="E14" s="40" t="s">
        <v>99</v>
      </c>
      <c r="F14" s="22">
        <v>866</v>
      </c>
      <c r="G14" s="22">
        <v>47500</v>
      </c>
      <c r="H14" s="23">
        <f>3050+4250+6200+3250+2950+10450+1400+3000+3839+1850+5550+750+866</f>
        <v>47405</v>
      </c>
      <c r="I14" s="22">
        <f t="shared" ref="I14" si="2">G14-H14</f>
        <v>95</v>
      </c>
      <c r="J14" s="22" t="s">
        <v>31</v>
      </c>
      <c r="K14" s="24"/>
      <c r="L14" s="25"/>
    </row>
    <row r="15" spans="1:12" ht="15.75" x14ac:dyDescent="0.25">
      <c r="A15" s="20" t="s">
        <v>40</v>
      </c>
      <c r="B15" s="21" t="s">
        <v>454</v>
      </c>
      <c r="C15" s="28" t="s">
        <v>15</v>
      </c>
      <c r="D15" s="29" t="s">
        <v>68</v>
      </c>
      <c r="E15" s="40" t="s">
        <v>69</v>
      </c>
      <c r="F15" s="22">
        <v>80000</v>
      </c>
      <c r="G15" s="22">
        <v>2000000</v>
      </c>
      <c r="H15" s="23">
        <f>50000+37000+80000</f>
        <v>167000</v>
      </c>
      <c r="I15" s="22">
        <f t="shared" si="0"/>
        <v>1833000</v>
      </c>
      <c r="J15" s="22" t="s">
        <v>16</v>
      </c>
      <c r="K15" s="24"/>
      <c r="L15" s="25"/>
    </row>
    <row r="16" spans="1:12" ht="15.75" x14ac:dyDescent="0.25">
      <c r="A16" s="20" t="s">
        <v>51</v>
      </c>
      <c r="B16" s="21" t="s">
        <v>474</v>
      </c>
      <c r="C16" s="28" t="s">
        <v>478</v>
      </c>
      <c r="D16" s="29" t="s">
        <v>211</v>
      </c>
      <c r="E16" s="40" t="s">
        <v>479</v>
      </c>
      <c r="F16" s="22">
        <v>33.1</v>
      </c>
      <c r="G16" s="22">
        <v>100</v>
      </c>
      <c r="H16" s="23">
        <f>101.9+33.1</f>
        <v>135</v>
      </c>
      <c r="I16" s="22">
        <f>G16-H16</f>
        <v>-35</v>
      </c>
      <c r="J16" s="22" t="s">
        <v>24</v>
      </c>
      <c r="K16" s="24"/>
      <c r="L16" s="25"/>
    </row>
    <row r="17" spans="1:12" ht="16.5" thickBot="1" x14ac:dyDescent="0.3">
      <c r="A17" s="30"/>
      <c r="B17" s="31"/>
      <c r="C17" s="32"/>
      <c r="D17" s="33"/>
      <c r="E17" s="41"/>
      <c r="F17" s="34"/>
      <c r="G17" s="34"/>
      <c r="H17" s="35"/>
      <c r="I17" s="34"/>
      <c r="J17" s="34" t="s">
        <v>64</v>
      </c>
      <c r="K17" s="36"/>
      <c r="L17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L21"/>
  <sheetViews>
    <sheetView workbookViewId="0">
      <pane xSplit="3" topLeftCell="E1" activePane="topRight" state="frozen"/>
      <selection pane="topRight" activeCell="A6" sqref="A6:XFD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498</v>
      </c>
      <c r="C4" s="26" t="s">
        <v>151</v>
      </c>
      <c r="D4" s="27" t="s">
        <v>240</v>
      </c>
      <c r="E4" s="39" t="s">
        <v>499</v>
      </c>
      <c r="F4" s="16">
        <v>540.1</v>
      </c>
      <c r="G4" s="16">
        <v>20000</v>
      </c>
      <c r="H4" s="17">
        <v>540.1</v>
      </c>
      <c r="I4" s="16">
        <f t="shared" ref="I4:I18" si="0">G4-H4</f>
        <v>19459.900000000001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496</v>
      </c>
      <c r="C5" s="28" t="s">
        <v>497</v>
      </c>
      <c r="D5" s="29" t="s">
        <v>18</v>
      </c>
      <c r="E5" s="40" t="s">
        <v>200</v>
      </c>
      <c r="F5" s="22">
        <v>3000</v>
      </c>
      <c r="G5" s="22">
        <v>6000</v>
      </c>
      <c r="H5" s="23">
        <v>3000</v>
      </c>
      <c r="I5" s="22">
        <f t="shared" si="0"/>
        <v>3000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455</v>
      </c>
      <c r="C6" s="28" t="s">
        <v>210</v>
      </c>
      <c r="D6" s="29" t="s">
        <v>211</v>
      </c>
      <c r="E6" s="40" t="s">
        <v>212</v>
      </c>
      <c r="F6" s="22">
        <v>261.7</v>
      </c>
      <c r="G6" s="22">
        <v>5000</v>
      </c>
      <c r="H6" s="23">
        <f>575.7+1453.7+261.7</f>
        <v>2291.1</v>
      </c>
      <c r="I6" s="22">
        <f>G6-H6</f>
        <v>2708.9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421</v>
      </c>
      <c r="C7" s="28" t="s">
        <v>422</v>
      </c>
      <c r="D7" s="29" t="s">
        <v>495</v>
      </c>
      <c r="E7" s="40" t="s">
        <v>49</v>
      </c>
      <c r="F7" s="22">
        <v>20000</v>
      </c>
      <c r="G7" s="22">
        <v>135000</v>
      </c>
      <c r="H7" s="23">
        <v>92000</v>
      </c>
      <c r="I7" s="22">
        <f t="shared" ref="I7:I8" si="1">G7-H7</f>
        <v>43000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389</v>
      </c>
      <c r="C8" s="28" t="s">
        <v>242</v>
      </c>
      <c r="D8" s="29" t="s">
        <v>77</v>
      </c>
      <c r="E8" s="40" t="s">
        <v>96</v>
      </c>
      <c r="F8" s="22">
        <v>4000</v>
      </c>
      <c r="G8" s="22">
        <v>200000</v>
      </c>
      <c r="H8" s="23">
        <f>81000+4000+4000+4000+4000+17000+4000</f>
        <v>118000</v>
      </c>
      <c r="I8" s="22">
        <f t="shared" si="1"/>
        <v>82000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492</v>
      </c>
      <c r="C9" s="28" t="s">
        <v>493</v>
      </c>
      <c r="D9" s="29" t="s">
        <v>18</v>
      </c>
      <c r="E9" s="40" t="s">
        <v>494</v>
      </c>
      <c r="F9" s="22">
        <v>24000</v>
      </c>
      <c r="G9" s="22">
        <v>93000</v>
      </c>
      <c r="H9" s="23">
        <v>24000</v>
      </c>
      <c r="I9" s="22">
        <f t="shared" si="0"/>
        <v>69000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487</v>
      </c>
      <c r="C10" s="28" t="s">
        <v>15</v>
      </c>
      <c r="D10" s="29" t="s">
        <v>344</v>
      </c>
      <c r="E10" s="40" t="s">
        <v>361</v>
      </c>
      <c r="F10" s="22">
        <v>2000</v>
      </c>
      <c r="G10" s="22">
        <v>100000</v>
      </c>
      <c r="H10" s="23">
        <f>96000+2000</f>
        <v>98000</v>
      </c>
      <c r="I10" s="22">
        <f>G10-H10</f>
        <v>2000</v>
      </c>
      <c r="J10" s="22" t="s">
        <v>16</v>
      </c>
      <c r="K10" s="24"/>
      <c r="L10" s="25"/>
    </row>
    <row r="11" spans="1:12" ht="15.75" x14ac:dyDescent="0.25">
      <c r="A11" s="20" t="s">
        <v>228</v>
      </c>
      <c r="B11" s="21" t="s">
        <v>380</v>
      </c>
      <c r="C11" s="28" t="s">
        <v>462</v>
      </c>
      <c r="D11" s="29" t="s">
        <v>18</v>
      </c>
      <c r="E11" s="40" t="s">
        <v>463</v>
      </c>
      <c r="F11" s="22">
        <v>58000</v>
      </c>
      <c r="G11" s="22">
        <v>60000</v>
      </c>
      <c r="H11" s="23">
        <v>58000</v>
      </c>
      <c r="I11" s="22">
        <f>G11-H11</f>
        <v>2000</v>
      </c>
      <c r="J11" s="22" t="s">
        <v>31</v>
      </c>
      <c r="K11" s="24"/>
      <c r="L11" s="25"/>
    </row>
    <row r="12" spans="1:12" ht="15.75" x14ac:dyDescent="0.25">
      <c r="A12" s="20" t="s">
        <v>485</v>
      </c>
      <c r="B12" s="21" t="s">
        <v>451</v>
      </c>
      <c r="C12" s="28" t="s">
        <v>214</v>
      </c>
      <c r="D12" s="29" t="s">
        <v>452</v>
      </c>
      <c r="E12" s="40" t="s">
        <v>55</v>
      </c>
      <c r="F12" s="22">
        <v>8485</v>
      </c>
      <c r="G12" s="22">
        <v>25000</v>
      </c>
      <c r="H12" s="23">
        <f>18000+8485</f>
        <v>26485</v>
      </c>
      <c r="I12" s="22">
        <f>G12-H12</f>
        <v>-1485</v>
      </c>
      <c r="J12" s="22" t="s">
        <v>24</v>
      </c>
      <c r="K12" s="24"/>
      <c r="L12" s="25"/>
    </row>
    <row r="13" spans="1:12" ht="15.75" x14ac:dyDescent="0.25">
      <c r="A13" s="20" t="s">
        <v>17</v>
      </c>
      <c r="B13" s="21" t="s">
        <v>464</v>
      </c>
      <c r="C13" s="28" t="s">
        <v>62</v>
      </c>
      <c r="D13" s="29" t="s">
        <v>344</v>
      </c>
      <c r="E13" s="40" t="s">
        <v>465</v>
      </c>
      <c r="F13" s="22">
        <v>3300</v>
      </c>
      <c r="G13" s="22">
        <v>5000</v>
      </c>
      <c r="H13" s="23">
        <f>450+3300</f>
        <v>3750</v>
      </c>
      <c r="I13" s="22">
        <f t="shared" ref="I13" si="2">G13-H13</f>
        <v>1250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488</v>
      </c>
      <c r="C14" s="28" t="s">
        <v>489</v>
      </c>
      <c r="D14" s="29" t="s">
        <v>490</v>
      </c>
      <c r="E14" s="40" t="s">
        <v>491</v>
      </c>
      <c r="F14" s="22">
        <v>30000</v>
      </c>
      <c r="G14" s="22">
        <v>120000</v>
      </c>
      <c r="H14" s="23">
        <v>30000</v>
      </c>
      <c r="I14" s="22">
        <f t="shared" ref="I14" si="3">G14-H14</f>
        <v>90000</v>
      </c>
      <c r="J14" s="22" t="s">
        <v>16</v>
      </c>
      <c r="K14" s="24"/>
      <c r="L14" s="25"/>
    </row>
    <row r="15" spans="1:12" ht="15.75" x14ac:dyDescent="0.25">
      <c r="A15" s="20" t="s">
        <v>20</v>
      </c>
      <c r="B15" s="21" t="s">
        <v>500</v>
      </c>
      <c r="C15" s="28" t="s">
        <v>15</v>
      </c>
      <c r="D15" s="29" t="s">
        <v>18</v>
      </c>
      <c r="E15" s="40" t="s">
        <v>501</v>
      </c>
      <c r="F15" s="22">
        <v>20000</v>
      </c>
      <c r="G15" s="22">
        <v>20000</v>
      </c>
      <c r="H15" s="23">
        <v>20000</v>
      </c>
      <c r="I15" s="22">
        <f>G15-H15</f>
        <v>0</v>
      </c>
      <c r="J15" s="22" t="s">
        <v>16</v>
      </c>
      <c r="K15" s="24"/>
      <c r="L15" s="25"/>
    </row>
    <row r="16" spans="1:12" ht="15.75" x14ac:dyDescent="0.25">
      <c r="A16" s="20" t="s">
        <v>44</v>
      </c>
      <c r="B16" s="21" t="s">
        <v>502</v>
      </c>
      <c r="C16" s="28" t="s">
        <v>15</v>
      </c>
      <c r="D16" s="29" t="s">
        <v>503</v>
      </c>
      <c r="E16" s="40" t="s">
        <v>45</v>
      </c>
      <c r="F16" s="22">
        <v>12000</v>
      </c>
      <c r="G16" s="22">
        <v>50000</v>
      </c>
      <c r="H16" s="23">
        <v>12000</v>
      </c>
      <c r="I16" s="22">
        <f>G16-H16</f>
        <v>38000</v>
      </c>
      <c r="J16" s="22" t="s">
        <v>16</v>
      </c>
      <c r="K16" s="24"/>
      <c r="L16" s="25"/>
    </row>
    <row r="17" spans="1:12" ht="15.75" x14ac:dyDescent="0.25">
      <c r="A17" s="20" t="s">
        <v>44</v>
      </c>
      <c r="B17" s="21" t="s">
        <v>372</v>
      </c>
      <c r="C17" s="28" t="s">
        <v>15</v>
      </c>
      <c r="D17" s="29" t="s">
        <v>47</v>
      </c>
      <c r="E17" s="40" t="s">
        <v>504</v>
      </c>
      <c r="F17" s="22">
        <v>13000</v>
      </c>
      <c r="G17" s="22">
        <v>500000</v>
      </c>
      <c r="H17" s="23">
        <v>74000</v>
      </c>
      <c r="I17" s="22">
        <f>G17-H17</f>
        <v>426000</v>
      </c>
      <c r="J17" s="22" t="s">
        <v>16</v>
      </c>
      <c r="K17" s="24"/>
      <c r="L17" s="25"/>
    </row>
    <row r="18" spans="1:12" ht="15.75" x14ac:dyDescent="0.25">
      <c r="A18" s="20" t="s">
        <v>40</v>
      </c>
      <c r="B18" s="21" t="s">
        <v>454</v>
      </c>
      <c r="C18" s="28" t="s">
        <v>15</v>
      </c>
      <c r="D18" s="29" t="s">
        <v>68</v>
      </c>
      <c r="E18" s="40" t="s">
        <v>69</v>
      </c>
      <c r="F18" s="22">
        <v>90000</v>
      </c>
      <c r="G18" s="22">
        <v>2000000</v>
      </c>
      <c r="H18" s="23">
        <f>50000+37000+80000+90000</f>
        <v>257000</v>
      </c>
      <c r="I18" s="22">
        <f t="shared" si="0"/>
        <v>1743000</v>
      </c>
      <c r="J18" s="22" t="s">
        <v>16</v>
      </c>
      <c r="K18" s="24"/>
      <c r="L18" s="25"/>
    </row>
    <row r="19" spans="1:12" ht="15.75" x14ac:dyDescent="0.25">
      <c r="A19" s="20" t="s">
        <v>82</v>
      </c>
      <c r="B19" s="21" t="s">
        <v>163</v>
      </c>
      <c r="C19" s="28" t="s">
        <v>15</v>
      </c>
      <c r="D19" s="29" t="s">
        <v>374</v>
      </c>
      <c r="E19" s="40" t="s">
        <v>81</v>
      </c>
      <c r="F19" s="22">
        <v>340</v>
      </c>
      <c r="G19" s="22">
        <v>2000</v>
      </c>
      <c r="H19" s="23">
        <f>590+160+250+310+165+340</f>
        <v>1815</v>
      </c>
      <c r="I19" s="22">
        <f>G19-H19</f>
        <v>185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426</v>
      </c>
      <c r="C20" s="28" t="s">
        <v>210</v>
      </c>
      <c r="D20" s="29" t="s">
        <v>18</v>
      </c>
      <c r="E20" s="40" t="s">
        <v>427</v>
      </c>
      <c r="F20" s="22">
        <v>9000</v>
      </c>
      <c r="G20" s="22">
        <v>10000</v>
      </c>
      <c r="H20" s="23">
        <f>2500+9000</f>
        <v>11500</v>
      </c>
      <c r="I20" s="22">
        <f>G20-H20</f>
        <v>-1500</v>
      </c>
      <c r="J20" s="22" t="s">
        <v>24</v>
      </c>
      <c r="K20" s="24"/>
      <c r="L20" s="25"/>
    </row>
    <row r="21" spans="1:12" ht="16.5" thickBot="1" x14ac:dyDescent="0.3">
      <c r="A21" s="30"/>
      <c r="B21" s="31"/>
      <c r="C21" s="32"/>
      <c r="D21" s="33"/>
      <c r="E21" s="41"/>
      <c r="F21" s="34"/>
      <c r="G21" s="34"/>
      <c r="H21" s="35"/>
      <c r="I21" s="34"/>
      <c r="J21" s="34" t="s">
        <v>64</v>
      </c>
      <c r="K21" s="36"/>
      <c r="L21" s="3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L26"/>
  <sheetViews>
    <sheetView workbookViewId="0">
      <pane xSplit="3" topLeftCell="F1" activePane="topRight" state="frozen"/>
      <selection pane="topRight" activeCell="A8" sqref="A8:XFD8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498</v>
      </c>
      <c r="C4" s="26" t="s">
        <v>151</v>
      </c>
      <c r="D4" s="27" t="s">
        <v>240</v>
      </c>
      <c r="E4" s="39" t="s">
        <v>499</v>
      </c>
      <c r="F4" s="16">
        <v>1046.0999999999999</v>
      </c>
      <c r="G4" s="16">
        <v>20000</v>
      </c>
      <c r="H4" s="17">
        <f>540.1+1046.1</f>
        <v>1586.1999999999998</v>
      </c>
      <c r="I4" s="16">
        <f t="shared" ref="I4:I24" si="0">G4-H4</f>
        <v>18413.8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496</v>
      </c>
      <c r="C5" s="28" t="s">
        <v>497</v>
      </c>
      <c r="D5" s="29" t="s">
        <v>18</v>
      </c>
      <c r="E5" s="40" t="s">
        <v>200</v>
      </c>
      <c r="F5" s="22">
        <v>3000</v>
      </c>
      <c r="G5" s="22">
        <v>6000</v>
      </c>
      <c r="H5" s="23">
        <f>3000+3000</f>
        <v>6000</v>
      </c>
      <c r="I5" s="22">
        <f t="shared" si="0"/>
        <v>0</v>
      </c>
      <c r="J5" s="22" t="s">
        <v>23</v>
      </c>
      <c r="K5" s="24"/>
      <c r="L5" s="25"/>
    </row>
    <row r="6" spans="1:12" ht="15.75" x14ac:dyDescent="0.25">
      <c r="A6" s="20" t="s">
        <v>51</v>
      </c>
      <c r="B6" s="21" t="s">
        <v>505</v>
      </c>
      <c r="C6" s="28" t="s">
        <v>506</v>
      </c>
      <c r="D6" s="29" t="s">
        <v>211</v>
      </c>
      <c r="E6" s="40" t="s">
        <v>351</v>
      </c>
      <c r="F6" s="22">
        <f>82.1+56.3</f>
        <v>138.39999999999998</v>
      </c>
      <c r="G6" s="22">
        <v>120</v>
      </c>
      <c r="H6" s="23">
        <v>138.4</v>
      </c>
      <c r="I6" s="22">
        <f>G6-H6</f>
        <v>-18.400000000000006</v>
      </c>
      <c r="J6" s="22" t="s">
        <v>24</v>
      </c>
      <c r="K6" s="24"/>
      <c r="L6" s="25"/>
    </row>
    <row r="7" spans="1:12" ht="15.75" x14ac:dyDescent="0.25">
      <c r="A7" s="20" t="s">
        <v>19</v>
      </c>
      <c r="B7" s="21" t="s">
        <v>421</v>
      </c>
      <c r="C7" s="28" t="s">
        <v>422</v>
      </c>
      <c r="D7" s="29" t="s">
        <v>495</v>
      </c>
      <c r="E7" s="40" t="s">
        <v>49</v>
      </c>
      <c r="F7" s="22">
        <v>20000</v>
      </c>
      <c r="G7" s="22">
        <v>135000</v>
      </c>
      <c r="H7" s="23">
        <f>92000+20000</f>
        <v>112000</v>
      </c>
      <c r="I7" s="22">
        <f t="shared" ref="I7:I8" si="1">G7-H7</f>
        <v>23000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389</v>
      </c>
      <c r="C8" s="28" t="s">
        <v>242</v>
      </c>
      <c r="D8" s="29" t="s">
        <v>77</v>
      </c>
      <c r="E8" s="40" t="s">
        <v>96</v>
      </c>
      <c r="F8" s="22">
        <v>4000</v>
      </c>
      <c r="G8" s="22">
        <v>200000</v>
      </c>
      <c r="H8" s="23">
        <f>81000+4000+4000+4000+4000+17000+4000+4000</f>
        <v>122000</v>
      </c>
      <c r="I8" s="22">
        <f t="shared" si="1"/>
        <v>78000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492</v>
      </c>
      <c r="C9" s="28" t="s">
        <v>493</v>
      </c>
      <c r="D9" s="29" t="s">
        <v>18</v>
      </c>
      <c r="E9" s="40" t="s">
        <v>494</v>
      </c>
      <c r="F9" s="22">
        <v>78600</v>
      </c>
      <c r="G9" s="22">
        <v>93000</v>
      </c>
      <c r="H9" s="23">
        <f>24000+78600</f>
        <v>102600</v>
      </c>
      <c r="I9" s="22">
        <f t="shared" si="0"/>
        <v>-9600</v>
      </c>
      <c r="J9" s="22" t="s">
        <v>24</v>
      </c>
      <c r="K9" s="24"/>
      <c r="L9" s="25"/>
    </row>
    <row r="10" spans="1:12" ht="15.75" x14ac:dyDescent="0.25">
      <c r="A10" s="20" t="s">
        <v>25</v>
      </c>
      <c r="B10" s="21" t="s">
        <v>507</v>
      </c>
      <c r="C10" s="28" t="s">
        <v>508</v>
      </c>
      <c r="D10" s="29" t="s">
        <v>509</v>
      </c>
      <c r="E10" s="40" t="s">
        <v>510</v>
      </c>
      <c r="F10" s="22">
        <v>1192</v>
      </c>
      <c r="G10" s="22">
        <v>3900</v>
      </c>
      <c r="H10" s="23">
        <v>1192</v>
      </c>
      <c r="I10" s="22">
        <f t="shared" ref="I10:I18" si="2">G10-H10</f>
        <v>2708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514</v>
      </c>
      <c r="C11" s="28" t="s">
        <v>515</v>
      </c>
      <c r="D11" s="29" t="s">
        <v>42</v>
      </c>
      <c r="E11" s="40" t="s">
        <v>365</v>
      </c>
      <c r="F11" s="22">
        <v>7310</v>
      </c>
      <c r="G11" s="22">
        <v>8000</v>
      </c>
      <c r="H11" s="23">
        <v>7310</v>
      </c>
      <c r="I11" s="22">
        <f t="shared" si="2"/>
        <v>690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516</v>
      </c>
      <c r="C12" s="28" t="s">
        <v>29</v>
      </c>
      <c r="D12" s="29" t="s">
        <v>18</v>
      </c>
      <c r="E12" s="40" t="s">
        <v>517</v>
      </c>
      <c r="F12" s="22">
        <v>14000</v>
      </c>
      <c r="G12" s="22">
        <v>40000</v>
      </c>
      <c r="H12" s="23">
        <v>14000</v>
      </c>
      <c r="I12" s="22">
        <f t="shared" si="2"/>
        <v>26000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248</v>
      </c>
      <c r="C13" s="28" t="s">
        <v>518</v>
      </c>
      <c r="D13" s="29" t="s">
        <v>42</v>
      </c>
      <c r="E13" s="40" t="s">
        <v>365</v>
      </c>
      <c r="F13" s="22">
        <v>1500</v>
      </c>
      <c r="G13" s="22">
        <v>8000</v>
      </c>
      <c r="H13" s="23">
        <v>1500</v>
      </c>
      <c r="I13" s="22">
        <f t="shared" si="2"/>
        <v>6500</v>
      </c>
      <c r="J13" s="22" t="s">
        <v>16</v>
      </c>
      <c r="K13" s="24"/>
      <c r="L13" s="25"/>
    </row>
    <row r="14" spans="1:12" ht="15.75" x14ac:dyDescent="0.25">
      <c r="A14" s="20" t="s">
        <v>346</v>
      </c>
      <c r="B14" s="21" t="s">
        <v>519</v>
      </c>
      <c r="C14" s="28" t="s">
        <v>15</v>
      </c>
      <c r="D14" s="29" t="s">
        <v>520</v>
      </c>
      <c r="E14" s="40" t="s">
        <v>46</v>
      </c>
      <c r="F14" s="22">
        <v>19</v>
      </c>
      <c r="G14" s="22">
        <v>100</v>
      </c>
      <c r="H14" s="23">
        <v>19</v>
      </c>
      <c r="I14" s="22">
        <f t="shared" si="2"/>
        <v>81</v>
      </c>
      <c r="J14" s="22" t="s">
        <v>16</v>
      </c>
      <c r="K14" s="24"/>
      <c r="L14" s="25"/>
    </row>
    <row r="15" spans="1:12" ht="15.75" x14ac:dyDescent="0.25">
      <c r="A15" s="20" t="s">
        <v>346</v>
      </c>
      <c r="B15" s="21" t="s">
        <v>428</v>
      </c>
      <c r="C15" s="28" t="s">
        <v>61</v>
      </c>
      <c r="D15" s="29" t="s">
        <v>211</v>
      </c>
      <c r="E15" s="40" t="s">
        <v>46</v>
      </c>
      <c r="F15" s="22">
        <v>107.8</v>
      </c>
      <c r="G15" s="22">
        <v>300</v>
      </c>
      <c r="H15" s="23">
        <v>107.8</v>
      </c>
      <c r="I15" s="22">
        <f t="shared" si="2"/>
        <v>192.2</v>
      </c>
      <c r="J15" s="22" t="s">
        <v>16</v>
      </c>
      <c r="K15" s="24"/>
      <c r="L15" s="25"/>
    </row>
    <row r="16" spans="1:12" ht="15.75" x14ac:dyDescent="0.25">
      <c r="A16" s="20" t="s">
        <v>20</v>
      </c>
      <c r="B16" s="21" t="s">
        <v>521</v>
      </c>
      <c r="C16" s="28" t="s">
        <v>15</v>
      </c>
      <c r="D16" s="29" t="s">
        <v>522</v>
      </c>
      <c r="E16" s="40" t="s">
        <v>523</v>
      </c>
      <c r="F16" s="22">
        <v>13500</v>
      </c>
      <c r="G16" s="22">
        <v>10000</v>
      </c>
      <c r="H16" s="23">
        <v>13500</v>
      </c>
      <c r="I16" s="22">
        <f t="shared" si="2"/>
        <v>-3500</v>
      </c>
      <c r="J16" s="22" t="s">
        <v>24</v>
      </c>
      <c r="K16" s="24"/>
      <c r="L16" s="25"/>
    </row>
    <row r="17" spans="1:12" ht="15.75" x14ac:dyDescent="0.25">
      <c r="A17" s="20" t="s">
        <v>82</v>
      </c>
      <c r="B17" s="21" t="s">
        <v>163</v>
      </c>
      <c r="C17" s="28" t="s">
        <v>15</v>
      </c>
      <c r="D17" s="29" t="s">
        <v>374</v>
      </c>
      <c r="E17" s="40" t="s">
        <v>81</v>
      </c>
      <c r="F17" s="22">
        <v>305</v>
      </c>
      <c r="G17" s="22">
        <v>2000</v>
      </c>
      <c r="H17" s="23">
        <f>590+160+250+310+165+340+305</f>
        <v>2120</v>
      </c>
      <c r="I17" s="22">
        <f t="shared" si="2"/>
        <v>-120</v>
      </c>
      <c r="J17" s="22" t="s">
        <v>24</v>
      </c>
      <c r="K17" s="24"/>
      <c r="L17" s="25"/>
    </row>
    <row r="18" spans="1:12" ht="15.75" x14ac:dyDescent="0.25">
      <c r="A18" s="20" t="s">
        <v>21</v>
      </c>
      <c r="B18" s="21" t="s">
        <v>276</v>
      </c>
      <c r="C18" s="28" t="s">
        <v>513</v>
      </c>
      <c r="D18" s="29" t="s">
        <v>42</v>
      </c>
      <c r="E18" s="40" t="s">
        <v>74</v>
      </c>
      <c r="F18" s="22">
        <v>5656</v>
      </c>
      <c r="G18" s="22">
        <v>8000</v>
      </c>
      <c r="H18" s="23">
        <v>7886</v>
      </c>
      <c r="I18" s="22">
        <f t="shared" si="2"/>
        <v>114</v>
      </c>
      <c r="J18" s="22" t="s">
        <v>31</v>
      </c>
      <c r="K18" s="24"/>
      <c r="L18" s="25"/>
    </row>
    <row r="19" spans="1:12" ht="15.75" x14ac:dyDescent="0.25">
      <c r="A19" s="20" t="s">
        <v>17</v>
      </c>
      <c r="B19" s="21" t="s">
        <v>464</v>
      </c>
      <c r="C19" s="28" t="s">
        <v>62</v>
      </c>
      <c r="D19" s="29" t="s">
        <v>344</v>
      </c>
      <c r="E19" s="40" t="s">
        <v>465</v>
      </c>
      <c r="F19" s="22">
        <v>1408</v>
      </c>
      <c r="G19" s="22">
        <v>5000</v>
      </c>
      <c r="H19" s="23">
        <f>450+3300+1408</f>
        <v>5158</v>
      </c>
      <c r="I19" s="22">
        <f t="shared" ref="I19:I20" si="3">G19-H19</f>
        <v>-158</v>
      </c>
      <c r="J19" s="22" t="s">
        <v>24</v>
      </c>
      <c r="K19" s="24"/>
      <c r="L19" s="25"/>
    </row>
    <row r="20" spans="1:12" ht="15.75" x14ac:dyDescent="0.25">
      <c r="A20" s="20" t="s">
        <v>21</v>
      </c>
      <c r="B20" s="21" t="s">
        <v>488</v>
      </c>
      <c r="C20" s="28" t="s">
        <v>489</v>
      </c>
      <c r="D20" s="29" t="s">
        <v>490</v>
      </c>
      <c r="E20" s="40" t="s">
        <v>491</v>
      </c>
      <c r="F20" s="22">
        <v>48000</v>
      </c>
      <c r="G20" s="22">
        <v>120000</v>
      </c>
      <c r="H20" s="23">
        <f>30000+48000</f>
        <v>78000</v>
      </c>
      <c r="I20" s="22">
        <f t="shared" si="3"/>
        <v>42000</v>
      </c>
      <c r="J20" s="22" t="s">
        <v>16</v>
      </c>
      <c r="K20" s="24"/>
      <c r="L20" s="25"/>
    </row>
    <row r="21" spans="1:12" ht="15.75" x14ac:dyDescent="0.25">
      <c r="A21" s="20" t="s">
        <v>20</v>
      </c>
      <c r="B21" s="21" t="s">
        <v>500</v>
      </c>
      <c r="C21" s="28" t="s">
        <v>15</v>
      </c>
      <c r="D21" s="29" t="s">
        <v>18</v>
      </c>
      <c r="E21" s="40" t="s">
        <v>501</v>
      </c>
      <c r="F21" s="22">
        <v>3500</v>
      </c>
      <c r="G21" s="22">
        <v>20000</v>
      </c>
      <c r="H21" s="23">
        <f>20000+3500</f>
        <v>23500</v>
      </c>
      <c r="I21" s="22">
        <f>G21-H21</f>
        <v>-3500</v>
      </c>
      <c r="J21" s="22" t="s">
        <v>24</v>
      </c>
      <c r="K21" s="24"/>
      <c r="L21" s="25"/>
    </row>
    <row r="22" spans="1:12" ht="15.75" x14ac:dyDescent="0.25">
      <c r="A22" s="20" t="s">
        <v>44</v>
      </c>
      <c r="B22" s="21" t="s">
        <v>502</v>
      </c>
      <c r="C22" s="28" t="s">
        <v>15</v>
      </c>
      <c r="D22" s="29" t="s">
        <v>503</v>
      </c>
      <c r="E22" s="40" t="s">
        <v>45</v>
      </c>
      <c r="F22" s="22">
        <v>33000</v>
      </c>
      <c r="G22" s="22">
        <v>50000</v>
      </c>
      <c r="H22" s="23">
        <f>12000+33000</f>
        <v>45000</v>
      </c>
      <c r="I22" s="22">
        <f>G22-H22</f>
        <v>5000</v>
      </c>
      <c r="J22" s="22" t="s">
        <v>16</v>
      </c>
      <c r="K22" s="24"/>
      <c r="L22" s="25"/>
    </row>
    <row r="23" spans="1:12" ht="15.75" x14ac:dyDescent="0.25">
      <c r="A23" s="20" t="s">
        <v>40</v>
      </c>
      <c r="B23" s="21" t="s">
        <v>512</v>
      </c>
      <c r="C23" s="28" t="s">
        <v>62</v>
      </c>
      <c r="D23" s="29" t="s">
        <v>54</v>
      </c>
      <c r="E23" s="40" t="s">
        <v>59</v>
      </c>
      <c r="F23" s="22">
        <v>28000</v>
      </c>
      <c r="G23" s="22">
        <v>300000</v>
      </c>
      <c r="H23" s="23">
        <v>28000</v>
      </c>
      <c r="I23" s="22">
        <f>G23-H23</f>
        <v>272000</v>
      </c>
      <c r="J23" s="22" t="s">
        <v>16</v>
      </c>
      <c r="K23" s="24"/>
      <c r="L23" s="25"/>
    </row>
    <row r="24" spans="1:12" ht="15.75" x14ac:dyDescent="0.25">
      <c r="A24" s="20" t="s">
        <v>40</v>
      </c>
      <c r="B24" s="21" t="s">
        <v>454</v>
      </c>
      <c r="C24" s="28" t="s">
        <v>15</v>
      </c>
      <c r="D24" s="29" t="s">
        <v>68</v>
      </c>
      <c r="E24" s="40" t="s">
        <v>69</v>
      </c>
      <c r="F24" s="22">
        <v>60000</v>
      </c>
      <c r="G24" s="22">
        <v>2000000</v>
      </c>
      <c r="H24" s="23">
        <f>50000+37000+80000+90000+60000</f>
        <v>317000</v>
      </c>
      <c r="I24" s="22">
        <f t="shared" si="0"/>
        <v>1683000</v>
      </c>
      <c r="J24" s="22" t="s">
        <v>16</v>
      </c>
      <c r="K24" s="24"/>
      <c r="L24" s="25"/>
    </row>
    <row r="25" spans="1:12" ht="15.75" x14ac:dyDescent="0.25">
      <c r="A25" s="20" t="s">
        <v>17</v>
      </c>
      <c r="B25" s="21" t="s">
        <v>507</v>
      </c>
      <c r="C25" s="28" t="s">
        <v>511</v>
      </c>
      <c r="D25" s="29" t="s">
        <v>18</v>
      </c>
      <c r="E25" s="40" t="s">
        <v>191</v>
      </c>
      <c r="F25" s="22">
        <f>315+6000</f>
        <v>6315</v>
      </c>
      <c r="G25" s="22">
        <v>6000</v>
      </c>
      <c r="H25" s="23">
        <v>6315</v>
      </c>
      <c r="I25" s="22">
        <f>G25-H25</f>
        <v>-315</v>
      </c>
      <c r="J25" s="22" t="s">
        <v>24</v>
      </c>
      <c r="K25" s="24"/>
      <c r="L25" s="25"/>
    </row>
    <row r="26" spans="1:12" ht="16.5" thickBot="1" x14ac:dyDescent="0.3">
      <c r="A26" s="30"/>
      <c r="B26" s="31"/>
      <c r="C26" s="32"/>
      <c r="D26" s="33"/>
      <c r="E26" s="41"/>
      <c r="F26" s="34"/>
      <c r="G26" s="34"/>
      <c r="H26" s="35"/>
      <c r="I26" s="34"/>
      <c r="J26" s="34" t="s">
        <v>64</v>
      </c>
      <c r="K26" s="36"/>
      <c r="L26" s="3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L28"/>
  <sheetViews>
    <sheetView workbookViewId="0">
      <pane xSplit="3" topLeftCell="D1" activePane="topRight" state="frozen"/>
      <selection pane="topRight" activeCell="A4" sqref="A4:XFD4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498</v>
      </c>
      <c r="C4" s="26" t="s">
        <v>151</v>
      </c>
      <c r="D4" s="27" t="s">
        <v>240</v>
      </c>
      <c r="E4" s="39" t="s">
        <v>499</v>
      </c>
      <c r="F4" s="16">
        <v>157.4</v>
      </c>
      <c r="G4" s="16">
        <v>20000</v>
      </c>
      <c r="H4" s="17">
        <f>540.1+1046.1+157.4</f>
        <v>1743.6</v>
      </c>
      <c r="I4" s="16">
        <f t="shared" ref="I4:I20" si="0">G4-H4</f>
        <v>18256.400000000001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524</v>
      </c>
      <c r="C5" s="28" t="s">
        <v>525</v>
      </c>
      <c r="D5" s="29" t="s">
        <v>526</v>
      </c>
      <c r="E5" s="40" t="s">
        <v>527</v>
      </c>
      <c r="F5" s="22">
        <v>5000</v>
      </c>
      <c r="G5" s="22">
        <v>5000</v>
      </c>
      <c r="H5" s="23">
        <v>5000</v>
      </c>
      <c r="I5" s="22">
        <f t="shared" si="0"/>
        <v>0</v>
      </c>
      <c r="J5" s="22" t="s">
        <v>23</v>
      </c>
      <c r="K5" s="24"/>
      <c r="L5" s="25"/>
    </row>
    <row r="6" spans="1:12" ht="15.75" x14ac:dyDescent="0.25">
      <c r="A6" s="20" t="s">
        <v>51</v>
      </c>
      <c r="B6" s="21" t="s">
        <v>528</v>
      </c>
      <c r="C6" s="28" t="s">
        <v>529</v>
      </c>
      <c r="D6" s="29" t="s">
        <v>211</v>
      </c>
      <c r="E6" s="40" t="s">
        <v>351</v>
      </c>
      <c r="F6" s="22">
        <v>349.1</v>
      </c>
      <c r="G6" s="22">
        <v>500</v>
      </c>
      <c r="H6" s="23">
        <v>349.1</v>
      </c>
      <c r="I6" s="22">
        <f>G6-H6</f>
        <v>150.89999999999998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421</v>
      </c>
      <c r="C7" s="28" t="s">
        <v>422</v>
      </c>
      <c r="D7" s="29" t="s">
        <v>495</v>
      </c>
      <c r="E7" s="40" t="s">
        <v>49</v>
      </c>
      <c r="F7" s="22">
        <v>40000</v>
      </c>
      <c r="G7" s="22">
        <v>135000</v>
      </c>
      <c r="H7" s="23">
        <f>92000+20000+40000</f>
        <v>152000</v>
      </c>
      <c r="I7" s="22">
        <f t="shared" ref="I7" si="1">G7-H7</f>
        <v>-17000</v>
      </c>
      <c r="J7" s="22" t="s">
        <v>24</v>
      </c>
      <c r="K7" s="24"/>
      <c r="L7" s="25"/>
    </row>
    <row r="8" spans="1:12" ht="15.75" x14ac:dyDescent="0.25">
      <c r="A8" s="20" t="s">
        <v>22</v>
      </c>
      <c r="B8" s="21" t="s">
        <v>455</v>
      </c>
      <c r="C8" s="28" t="s">
        <v>210</v>
      </c>
      <c r="D8" s="29" t="s">
        <v>211</v>
      </c>
      <c r="E8" s="40" t="s">
        <v>212</v>
      </c>
      <c r="F8" s="22">
        <v>696.2</v>
      </c>
      <c r="G8" s="22">
        <v>5000</v>
      </c>
      <c r="H8" s="23">
        <f>575.7+1453.7+261.7+696.2</f>
        <v>2987.3</v>
      </c>
      <c r="I8" s="22">
        <f>G8-H8</f>
        <v>2012.6999999999998</v>
      </c>
      <c r="J8" s="22" t="s">
        <v>16</v>
      </c>
      <c r="K8" s="24"/>
      <c r="L8" s="25"/>
    </row>
    <row r="9" spans="1:12" ht="15.75" x14ac:dyDescent="0.25">
      <c r="A9" s="20" t="s">
        <v>44</v>
      </c>
      <c r="B9" s="21" t="s">
        <v>444</v>
      </c>
      <c r="C9" s="28" t="s">
        <v>15</v>
      </c>
      <c r="D9" s="29" t="s">
        <v>47</v>
      </c>
      <c r="E9" s="40" t="s">
        <v>45</v>
      </c>
      <c r="F9" s="22">
        <v>8000</v>
      </c>
      <c r="G9" s="22">
        <v>500000</v>
      </c>
      <c r="H9" s="23">
        <v>8000</v>
      </c>
      <c r="I9" s="22">
        <f t="shared" si="0"/>
        <v>492000</v>
      </c>
      <c r="J9" s="22" t="s">
        <v>16</v>
      </c>
      <c r="K9" s="24"/>
      <c r="L9" s="25"/>
    </row>
    <row r="10" spans="1:12" ht="15.75" x14ac:dyDescent="0.25">
      <c r="A10" s="20" t="s">
        <v>25</v>
      </c>
      <c r="B10" s="21" t="s">
        <v>507</v>
      </c>
      <c r="C10" s="28" t="s">
        <v>508</v>
      </c>
      <c r="D10" s="29" t="s">
        <v>509</v>
      </c>
      <c r="E10" s="40" t="s">
        <v>510</v>
      </c>
      <c r="F10" s="22">
        <v>850.4</v>
      </c>
      <c r="G10" s="22">
        <v>3900</v>
      </c>
      <c r="H10" s="23">
        <f>1192+850.4</f>
        <v>2042.4</v>
      </c>
      <c r="I10" s="22">
        <f t="shared" si="0"/>
        <v>1857.6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467</v>
      </c>
      <c r="C11" s="28" t="s">
        <v>530</v>
      </c>
      <c r="D11" s="29" t="s">
        <v>42</v>
      </c>
      <c r="E11" s="40" t="s">
        <v>470</v>
      </c>
      <c r="F11" s="22">
        <v>12000</v>
      </c>
      <c r="G11" s="22">
        <v>20000</v>
      </c>
      <c r="H11" s="23">
        <v>12000</v>
      </c>
      <c r="I11" s="22">
        <f t="shared" si="0"/>
        <v>8000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516</v>
      </c>
      <c r="C12" s="28" t="s">
        <v>29</v>
      </c>
      <c r="D12" s="29" t="s">
        <v>18</v>
      </c>
      <c r="E12" s="40" t="s">
        <v>517</v>
      </c>
      <c r="F12" s="22">
        <v>16840</v>
      </c>
      <c r="G12" s="22">
        <v>40000</v>
      </c>
      <c r="H12" s="23">
        <f>14000+16840</f>
        <v>30840</v>
      </c>
      <c r="I12" s="22">
        <f t="shared" si="0"/>
        <v>9160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248</v>
      </c>
      <c r="C13" s="28" t="s">
        <v>518</v>
      </c>
      <c r="D13" s="29" t="s">
        <v>42</v>
      </c>
      <c r="E13" s="40" t="s">
        <v>365</v>
      </c>
      <c r="F13" s="22">
        <v>6592</v>
      </c>
      <c r="G13" s="22">
        <v>8000</v>
      </c>
      <c r="H13" s="23">
        <f>1500+6592</f>
        <v>8092</v>
      </c>
      <c r="I13" s="22">
        <f t="shared" si="0"/>
        <v>-92</v>
      </c>
      <c r="J13" s="22" t="s">
        <v>24</v>
      </c>
      <c r="K13" s="24"/>
      <c r="L13" s="25"/>
    </row>
    <row r="14" spans="1:12" ht="15.75" x14ac:dyDescent="0.25">
      <c r="A14" s="20" t="s">
        <v>346</v>
      </c>
      <c r="B14" s="21" t="s">
        <v>519</v>
      </c>
      <c r="C14" s="28" t="s">
        <v>15</v>
      </c>
      <c r="D14" s="29" t="s">
        <v>520</v>
      </c>
      <c r="E14" s="40" t="s">
        <v>46</v>
      </c>
      <c r="F14" s="22">
        <v>21</v>
      </c>
      <c r="G14" s="22">
        <v>100</v>
      </c>
      <c r="H14" s="23">
        <f>19+21</f>
        <v>40</v>
      </c>
      <c r="I14" s="22">
        <f t="shared" si="0"/>
        <v>60</v>
      </c>
      <c r="J14" s="22" t="s">
        <v>16</v>
      </c>
      <c r="K14" s="24"/>
      <c r="L14" s="25"/>
    </row>
    <row r="15" spans="1:12" ht="15.75" x14ac:dyDescent="0.25">
      <c r="A15" s="20" t="s">
        <v>346</v>
      </c>
      <c r="B15" s="21" t="s">
        <v>531</v>
      </c>
      <c r="C15" s="28" t="s">
        <v>187</v>
      </c>
      <c r="D15" s="29" t="s">
        <v>93</v>
      </c>
      <c r="E15" s="40" t="s">
        <v>46</v>
      </c>
      <c r="F15" s="22">
        <v>210.7</v>
      </c>
      <c r="G15" s="22">
        <v>500</v>
      </c>
      <c r="H15" s="23">
        <v>210.7</v>
      </c>
      <c r="I15" s="22">
        <f t="shared" si="0"/>
        <v>289.3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532</v>
      </c>
      <c r="C16" s="28" t="s">
        <v>196</v>
      </c>
      <c r="D16" s="29" t="s">
        <v>77</v>
      </c>
      <c r="E16" s="40" t="s">
        <v>533</v>
      </c>
      <c r="F16" s="22">
        <v>6130</v>
      </c>
      <c r="G16" s="22">
        <v>6000</v>
      </c>
      <c r="H16" s="23">
        <v>6130</v>
      </c>
      <c r="I16" s="22">
        <f t="shared" si="0"/>
        <v>-130</v>
      </c>
      <c r="J16" s="22" t="s">
        <v>23</v>
      </c>
      <c r="K16" s="24"/>
      <c r="L16" s="25"/>
    </row>
    <row r="17" spans="1:12" ht="15.75" x14ac:dyDescent="0.25">
      <c r="A17" s="20" t="s">
        <v>82</v>
      </c>
      <c r="B17" s="21" t="s">
        <v>163</v>
      </c>
      <c r="C17" s="28" t="s">
        <v>15</v>
      </c>
      <c r="D17" s="29" t="s">
        <v>374</v>
      </c>
      <c r="E17" s="40" t="s">
        <v>81</v>
      </c>
      <c r="F17" s="22">
        <v>215</v>
      </c>
      <c r="G17" s="22">
        <v>2000</v>
      </c>
      <c r="H17" s="23">
        <f>590+160+250+310+165+340+305+215</f>
        <v>2335</v>
      </c>
      <c r="I17" s="22">
        <f t="shared" si="0"/>
        <v>-335</v>
      </c>
      <c r="J17" s="22" t="s">
        <v>24</v>
      </c>
      <c r="K17" s="24"/>
      <c r="L17" s="25"/>
    </row>
    <row r="18" spans="1:12" ht="15.75" x14ac:dyDescent="0.25">
      <c r="A18" s="20" t="s">
        <v>17</v>
      </c>
      <c r="B18" s="21" t="s">
        <v>534</v>
      </c>
      <c r="C18" s="28" t="s">
        <v>75</v>
      </c>
      <c r="D18" s="29" t="s">
        <v>535</v>
      </c>
      <c r="E18" s="40" t="s">
        <v>536</v>
      </c>
      <c r="F18" s="22">
        <f>2300+2600</f>
        <v>4900</v>
      </c>
      <c r="G18" s="22">
        <v>7000</v>
      </c>
      <c r="H18" s="23">
        <v>4900</v>
      </c>
      <c r="I18" s="22">
        <f t="shared" si="0"/>
        <v>2100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537</v>
      </c>
      <c r="C19" s="28" t="s">
        <v>538</v>
      </c>
      <c r="D19" s="29" t="s">
        <v>27</v>
      </c>
      <c r="E19" s="40" t="s">
        <v>539</v>
      </c>
      <c r="F19" s="22">
        <v>8000</v>
      </c>
      <c r="G19" s="22">
        <v>20000</v>
      </c>
      <c r="H19" s="23">
        <v>8000</v>
      </c>
      <c r="I19" s="22">
        <f t="shared" si="0"/>
        <v>12000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488</v>
      </c>
      <c r="C20" s="28" t="s">
        <v>489</v>
      </c>
      <c r="D20" s="29" t="s">
        <v>490</v>
      </c>
      <c r="E20" s="40" t="s">
        <v>491</v>
      </c>
      <c r="F20" s="22">
        <v>14500</v>
      </c>
      <c r="G20" s="22">
        <v>120000</v>
      </c>
      <c r="H20" s="23">
        <f>30000+48000+14500</f>
        <v>92500</v>
      </c>
      <c r="I20" s="22">
        <f t="shared" si="0"/>
        <v>27500</v>
      </c>
      <c r="J20" s="22" t="s">
        <v>16</v>
      </c>
      <c r="K20" s="24"/>
      <c r="L20" s="25"/>
    </row>
    <row r="21" spans="1:12" ht="15.75" x14ac:dyDescent="0.25">
      <c r="A21" s="20" t="s">
        <v>21</v>
      </c>
      <c r="B21" s="21" t="s">
        <v>540</v>
      </c>
      <c r="C21" s="28" t="s">
        <v>541</v>
      </c>
      <c r="D21" s="29" t="s">
        <v>542</v>
      </c>
      <c r="E21" s="40" t="s">
        <v>543</v>
      </c>
      <c r="F21" s="22">
        <v>3000</v>
      </c>
      <c r="G21" s="22">
        <v>16000</v>
      </c>
      <c r="H21" s="23">
        <v>3000</v>
      </c>
      <c r="I21" s="22">
        <f t="shared" ref="I21:I27" si="2">G21-H21</f>
        <v>13000</v>
      </c>
      <c r="J21" s="22" t="s">
        <v>16</v>
      </c>
      <c r="K21" s="24"/>
      <c r="L21" s="25"/>
    </row>
    <row r="22" spans="1:12" ht="15.75" x14ac:dyDescent="0.25">
      <c r="A22" s="20" t="s">
        <v>21</v>
      </c>
      <c r="B22" s="21" t="s">
        <v>544</v>
      </c>
      <c r="C22" s="28" t="s">
        <v>541</v>
      </c>
      <c r="D22" s="29" t="s">
        <v>545</v>
      </c>
      <c r="E22" s="40" t="s">
        <v>543</v>
      </c>
      <c r="F22" s="22">
        <v>6000</v>
      </c>
      <c r="G22" s="22">
        <v>50000</v>
      </c>
      <c r="H22" s="23">
        <v>6000</v>
      </c>
      <c r="I22" s="22">
        <f t="shared" si="2"/>
        <v>44000</v>
      </c>
      <c r="J22" s="22" t="s">
        <v>16</v>
      </c>
      <c r="K22" s="24"/>
      <c r="L22" s="25"/>
    </row>
    <row r="23" spans="1:12" ht="15.75" x14ac:dyDescent="0.25">
      <c r="A23" s="20" t="s">
        <v>44</v>
      </c>
      <c r="B23" s="21" t="s">
        <v>502</v>
      </c>
      <c r="C23" s="28" t="s">
        <v>15</v>
      </c>
      <c r="D23" s="29" t="s">
        <v>503</v>
      </c>
      <c r="E23" s="40" t="s">
        <v>45</v>
      </c>
      <c r="F23" s="22">
        <v>28500</v>
      </c>
      <c r="G23" s="22">
        <v>50000</v>
      </c>
      <c r="H23" s="23">
        <f>12000+33000+28500</f>
        <v>73500</v>
      </c>
      <c r="I23" s="22">
        <f t="shared" si="2"/>
        <v>-23500</v>
      </c>
      <c r="J23" s="22" t="s">
        <v>16</v>
      </c>
      <c r="K23" s="24"/>
      <c r="L23" s="25"/>
    </row>
    <row r="24" spans="1:12" ht="15.75" x14ac:dyDescent="0.25">
      <c r="A24" s="20" t="s">
        <v>244</v>
      </c>
      <c r="B24" s="21" t="s">
        <v>546</v>
      </c>
      <c r="C24" s="28" t="s">
        <v>15</v>
      </c>
      <c r="D24" s="29" t="s">
        <v>35</v>
      </c>
      <c r="E24" s="40" t="s">
        <v>547</v>
      </c>
      <c r="F24" s="22">
        <v>788.4</v>
      </c>
      <c r="G24" s="22">
        <v>700</v>
      </c>
      <c r="H24" s="23">
        <v>788.4</v>
      </c>
      <c r="I24" s="22">
        <f t="shared" si="2"/>
        <v>-88.399999999999977</v>
      </c>
      <c r="J24" s="22" t="s">
        <v>24</v>
      </c>
      <c r="K24" s="24"/>
      <c r="L24" s="25"/>
    </row>
    <row r="25" spans="1:12" ht="15.75" x14ac:dyDescent="0.25">
      <c r="A25" s="20" t="s">
        <v>40</v>
      </c>
      <c r="B25" s="21" t="s">
        <v>454</v>
      </c>
      <c r="C25" s="28" t="s">
        <v>15</v>
      </c>
      <c r="D25" s="29" t="s">
        <v>68</v>
      </c>
      <c r="E25" s="40" t="s">
        <v>69</v>
      </c>
      <c r="F25" s="22">
        <v>35000</v>
      </c>
      <c r="G25" s="22">
        <v>2000000</v>
      </c>
      <c r="H25" s="23">
        <f>50000+37000+80000+90000+60000+35000</f>
        <v>352000</v>
      </c>
      <c r="I25" s="22">
        <f t="shared" si="2"/>
        <v>1648000</v>
      </c>
      <c r="J25" s="22" t="s">
        <v>16</v>
      </c>
      <c r="K25" s="24"/>
      <c r="L25" s="25"/>
    </row>
    <row r="26" spans="1:12" ht="15.75" x14ac:dyDescent="0.25">
      <c r="A26" s="20" t="s">
        <v>244</v>
      </c>
      <c r="B26" s="21" t="s">
        <v>550</v>
      </c>
      <c r="C26" s="28" t="s">
        <v>15</v>
      </c>
      <c r="D26" s="29" t="s">
        <v>551</v>
      </c>
      <c r="E26" s="40" t="s">
        <v>552</v>
      </c>
      <c r="F26" s="22">
        <v>16</v>
      </c>
      <c r="G26" s="22">
        <v>30</v>
      </c>
      <c r="H26" s="23">
        <v>16</v>
      </c>
      <c r="I26" s="22">
        <f t="shared" si="2"/>
        <v>14</v>
      </c>
      <c r="J26" s="22" t="s">
        <v>16</v>
      </c>
      <c r="K26" s="24"/>
      <c r="L26" s="25"/>
    </row>
    <row r="27" spans="1:12" ht="15.75" x14ac:dyDescent="0.25">
      <c r="A27" s="20" t="s">
        <v>244</v>
      </c>
      <c r="B27" s="21" t="s">
        <v>548</v>
      </c>
      <c r="C27" s="28" t="s">
        <v>15</v>
      </c>
      <c r="D27" s="29" t="s">
        <v>237</v>
      </c>
      <c r="E27" s="40" t="s">
        <v>549</v>
      </c>
      <c r="F27" s="22">
        <v>339.7</v>
      </c>
      <c r="G27" s="22">
        <v>300</v>
      </c>
      <c r="H27" s="23">
        <v>339.7</v>
      </c>
      <c r="I27" s="22">
        <f t="shared" si="2"/>
        <v>-39.699999999999989</v>
      </c>
      <c r="J27" s="22" t="s">
        <v>24</v>
      </c>
      <c r="K27" s="24"/>
      <c r="L27" s="25"/>
    </row>
    <row r="28" spans="1:12" ht="16.5" thickBot="1" x14ac:dyDescent="0.3">
      <c r="A28" s="30"/>
      <c r="B28" s="31"/>
      <c r="C28" s="32"/>
      <c r="D28" s="33"/>
      <c r="E28" s="41"/>
      <c r="F28" s="34"/>
      <c r="G28" s="34"/>
      <c r="H28" s="35"/>
      <c r="I28" s="34"/>
      <c r="J28" s="34" t="s">
        <v>64</v>
      </c>
      <c r="K28" s="36"/>
      <c r="L28" s="3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L105"/>
  <sheetViews>
    <sheetView workbookViewId="0">
      <pane xSplit="3" topLeftCell="D1" activePane="topRight" state="frozen"/>
      <selection pane="topRight" activeCell="A11" sqref="A11:XFD1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555</v>
      </c>
      <c r="C4" s="26" t="s">
        <v>556</v>
      </c>
      <c r="D4" s="27" t="s">
        <v>557</v>
      </c>
      <c r="E4" s="39" t="s">
        <v>55</v>
      </c>
      <c r="F4" s="16">
        <v>8125</v>
      </c>
      <c r="G4" s="16">
        <v>10000</v>
      </c>
      <c r="H4" s="17">
        <v>8125</v>
      </c>
      <c r="I4" s="16">
        <f t="shared" ref="I4:I21" si="0">G4-H4</f>
        <v>1875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372</v>
      </c>
      <c r="C5" s="28" t="s">
        <v>327</v>
      </c>
      <c r="D5" s="29" t="s">
        <v>18</v>
      </c>
      <c r="E5" s="40" t="s">
        <v>328</v>
      </c>
      <c r="F5" s="22">
        <f>5000+2000</f>
        <v>7000</v>
      </c>
      <c r="G5" s="22">
        <v>30000</v>
      </c>
      <c r="H5" s="23">
        <v>7000</v>
      </c>
      <c r="I5" s="22">
        <f t="shared" si="0"/>
        <v>23000</v>
      </c>
      <c r="J5" s="22" t="s">
        <v>16</v>
      </c>
      <c r="K5" s="24"/>
      <c r="L5" s="25"/>
    </row>
    <row r="6" spans="1:12" ht="15.75" x14ac:dyDescent="0.25">
      <c r="A6" s="20" t="s">
        <v>51</v>
      </c>
      <c r="B6" s="21" t="s">
        <v>528</v>
      </c>
      <c r="C6" s="28" t="s">
        <v>529</v>
      </c>
      <c r="D6" s="29" t="s">
        <v>211</v>
      </c>
      <c r="E6" s="40" t="s">
        <v>351</v>
      </c>
      <c r="F6" s="22">
        <v>58.4</v>
      </c>
      <c r="G6" s="22">
        <v>500</v>
      </c>
      <c r="H6" s="23">
        <f>349.1+58.4</f>
        <v>407.5</v>
      </c>
      <c r="I6" s="22">
        <f>G6-H6</f>
        <v>92.5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421</v>
      </c>
      <c r="C7" s="28" t="s">
        <v>422</v>
      </c>
      <c r="D7" s="29" t="s">
        <v>495</v>
      </c>
      <c r="E7" s="40" t="s">
        <v>49</v>
      </c>
      <c r="F7" s="22">
        <v>5000</v>
      </c>
      <c r="G7" s="22">
        <v>135000</v>
      </c>
      <c r="H7" s="23">
        <f>92000+20000+40000+5000</f>
        <v>157000</v>
      </c>
      <c r="I7" s="22">
        <f t="shared" ref="I7" si="1">G7-H7</f>
        <v>-22000</v>
      </c>
      <c r="J7" s="22" t="s">
        <v>24</v>
      </c>
      <c r="K7" s="24"/>
      <c r="L7" s="25"/>
    </row>
    <row r="8" spans="1:12" ht="15.75" x14ac:dyDescent="0.25">
      <c r="A8" s="20" t="s">
        <v>22</v>
      </c>
      <c r="B8" s="21" t="s">
        <v>455</v>
      </c>
      <c r="C8" s="28" t="s">
        <v>210</v>
      </c>
      <c r="D8" s="29" t="s">
        <v>211</v>
      </c>
      <c r="E8" s="40" t="s">
        <v>212</v>
      </c>
      <c r="F8" s="22">
        <v>1003.2</v>
      </c>
      <c r="G8" s="22">
        <v>5000</v>
      </c>
      <c r="H8" s="23">
        <f>575.7+1453.7+261.7+696.2+1003.2</f>
        <v>3990.5</v>
      </c>
      <c r="I8" s="22">
        <f>G8-H8</f>
        <v>1009.5</v>
      </c>
      <c r="J8" s="22" t="s">
        <v>16</v>
      </c>
      <c r="K8" s="24"/>
      <c r="L8" s="25"/>
    </row>
    <row r="9" spans="1:12" ht="15.75" x14ac:dyDescent="0.25">
      <c r="A9" s="20" t="s">
        <v>51</v>
      </c>
      <c r="B9" s="21" t="s">
        <v>558</v>
      </c>
      <c r="C9" s="28" t="s">
        <v>115</v>
      </c>
      <c r="D9" s="29" t="s">
        <v>27</v>
      </c>
      <c r="E9" s="40" t="s">
        <v>38</v>
      </c>
      <c r="F9" s="22">
        <v>345.4</v>
      </c>
      <c r="G9" s="22">
        <v>3000</v>
      </c>
      <c r="H9" s="23">
        <v>345.4</v>
      </c>
      <c r="I9" s="22">
        <f t="shared" si="0"/>
        <v>2654.6</v>
      </c>
      <c r="J9" s="22" t="s">
        <v>16</v>
      </c>
      <c r="K9" s="24"/>
      <c r="L9" s="25"/>
    </row>
    <row r="10" spans="1:12" ht="15.75" x14ac:dyDescent="0.25">
      <c r="A10" s="20" t="s">
        <v>40</v>
      </c>
      <c r="B10" s="21" t="s">
        <v>512</v>
      </c>
      <c r="C10" s="28" t="s">
        <v>62</v>
      </c>
      <c r="D10" s="29" t="s">
        <v>54</v>
      </c>
      <c r="E10" s="40" t="s">
        <v>59</v>
      </c>
      <c r="F10" s="22">
        <v>24000</v>
      </c>
      <c r="G10" s="22">
        <v>300000</v>
      </c>
      <c r="H10" s="23">
        <f>28000+24000</f>
        <v>52000</v>
      </c>
      <c r="I10" s="22">
        <f>G10-H10</f>
        <v>248000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467</v>
      </c>
      <c r="C11" s="28" t="s">
        <v>530</v>
      </c>
      <c r="D11" s="29" t="s">
        <v>42</v>
      </c>
      <c r="E11" s="40" t="s">
        <v>470</v>
      </c>
      <c r="F11" s="22">
        <v>3500</v>
      </c>
      <c r="G11" s="22">
        <v>20000</v>
      </c>
      <c r="H11" s="23">
        <f>12000+3500</f>
        <v>15500</v>
      </c>
      <c r="I11" s="22">
        <f t="shared" si="0"/>
        <v>4500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389</v>
      </c>
      <c r="C12" s="28" t="s">
        <v>242</v>
      </c>
      <c r="D12" s="29" t="s">
        <v>77</v>
      </c>
      <c r="E12" s="40" t="s">
        <v>96</v>
      </c>
      <c r="F12" s="22">
        <v>15000</v>
      </c>
      <c r="G12" s="22">
        <v>200000</v>
      </c>
      <c r="H12" s="23">
        <f>81000+4000+4000+4000+4000+17000+4000+4000+15000</f>
        <v>137000</v>
      </c>
      <c r="I12" s="22">
        <f t="shared" si="0"/>
        <v>63000</v>
      </c>
      <c r="J12" s="22" t="s">
        <v>16</v>
      </c>
      <c r="K12" s="24"/>
      <c r="L12" s="25"/>
    </row>
    <row r="13" spans="1:12" ht="15.75" x14ac:dyDescent="0.25">
      <c r="A13" s="20" t="s">
        <v>51</v>
      </c>
      <c r="B13" s="21" t="s">
        <v>559</v>
      </c>
      <c r="C13" s="28" t="s">
        <v>560</v>
      </c>
      <c r="D13" s="29" t="s">
        <v>561</v>
      </c>
      <c r="E13" s="40" t="s">
        <v>38</v>
      </c>
      <c r="F13" s="22">
        <v>250.6</v>
      </c>
      <c r="G13" s="22">
        <v>3000</v>
      </c>
      <c r="H13" s="23">
        <v>250.6</v>
      </c>
      <c r="I13" s="22">
        <f t="shared" si="0"/>
        <v>2749.4</v>
      </c>
      <c r="J13" s="22" t="s">
        <v>16</v>
      </c>
      <c r="K13" s="24"/>
      <c r="L13" s="25"/>
    </row>
    <row r="14" spans="1:12" ht="15.75" x14ac:dyDescent="0.25">
      <c r="A14" s="20" t="s">
        <v>562</v>
      </c>
      <c r="B14" s="21" t="s">
        <v>128</v>
      </c>
      <c r="C14" s="28" t="s">
        <v>32</v>
      </c>
      <c r="D14" s="29" t="s">
        <v>18</v>
      </c>
      <c r="E14" s="40" t="s">
        <v>33</v>
      </c>
      <c r="F14" s="22">
        <v>1900</v>
      </c>
      <c r="G14" s="22">
        <v>5000</v>
      </c>
      <c r="H14" s="23">
        <v>1900</v>
      </c>
      <c r="I14" s="22">
        <f t="shared" si="0"/>
        <v>3100</v>
      </c>
      <c r="J14" s="22" t="s">
        <v>16</v>
      </c>
      <c r="K14" s="24"/>
      <c r="L14" s="25"/>
    </row>
    <row r="15" spans="1:12" ht="15.75" x14ac:dyDescent="0.25">
      <c r="A15" s="20" t="s">
        <v>346</v>
      </c>
      <c r="B15" s="21" t="s">
        <v>531</v>
      </c>
      <c r="C15" s="28" t="s">
        <v>187</v>
      </c>
      <c r="D15" s="29" t="s">
        <v>93</v>
      </c>
      <c r="E15" s="40" t="s">
        <v>46</v>
      </c>
      <c r="F15" s="22">
        <v>224.2</v>
      </c>
      <c r="G15" s="22">
        <v>500</v>
      </c>
      <c r="H15" s="23">
        <f>210.7+224.2</f>
        <v>434.9</v>
      </c>
      <c r="I15" s="22">
        <f t="shared" si="0"/>
        <v>65.100000000000023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534</v>
      </c>
      <c r="C16" s="28" t="s">
        <v>75</v>
      </c>
      <c r="D16" s="29" t="s">
        <v>535</v>
      </c>
      <c r="E16" s="40" t="s">
        <v>536</v>
      </c>
      <c r="F16" s="22">
        <v>2035</v>
      </c>
      <c r="G16" s="22">
        <v>7000</v>
      </c>
      <c r="H16" s="23">
        <f>4900+2035</f>
        <v>6935</v>
      </c>
      <c r="I16" s="22">
        <f t="shared" si="0"/>
        <v>65</v>
      </c>
      <c r="J16" s="22" t="s">
        <v>16</v>
      </c>
      <c r="K16" s="24"/>
      <c r="L16" s="25"/>
    </row>
    <row r="17" spans="1:12" ht="15.75" x14ac:dyDescent="0.25">
      <c r="A17" s="20" t="s">
        <v>21</v>
      </c>
      <c r="B17" s="21" t="s">
        <v>537</v>
      </c>
      <c r="C17" s="28" t="s">
        <v>538</v>
      </c>
      <c r="D17" s="29" t="s">
        <v>27</v>
      </c>
      <c r="E17" s="40" t="s">
        <v>539</v>
      </c>
      <c r="F17" s="22">
        <v>1710</v>
      </c>
      <c r="G17" s="22">
        <v>20000</v>
      </c>
      <c r="H17" s="23">
        <f>8000+1710</f>
        <v>9710</v>
      </c>
      <c r="I17" s="22">
        <f t="shared" si="0"/>
        <v>10290</v>
      </c>
      <c r="J17" s="22" t="s">
        <v>16</v>
      </c>
      <c r="K17" s="24"/>
      <c r="L17" s="25"/>
    </row>
    <row r="18" spans="1:12" ht="15.75" x14ac:dyDescent="0.25">
      <c r="A18" s="20" t="s">
        <v>30</v>
      </c>
      <c r="B18" s="21" t="s">
        <v>553</v>
      </c>
      <c r="C18" s="28" t="s">
        <v>554</v>
      </c>
      <c r="D18" s="29" t="s">
        <v>37</v>
      </c>
      <c r="E18" s="40" t="s">
        <v>80</v>
      </c>
      <c r="F18" s="22">
        <v>24000</v>
      </c>
      <c r="G18" s="22">
        <v>30000</v>
      </c>
      <c r="H18" s="23">
        <v>24000</v>
      </c>
      <c r="I18" s="22">
        <f t="shared" si="0"/>
        <v>6000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540</v>
      </c>
      <c r="C19" s="28" t="s">
        <v>541</v>
      </c>
      <c r="D19" s="29" t="s">
        <v>542</v>
      </c>
      <c r="E19" s="40" t="s">
        <v>543</v>
      </c>
      <c r="F19" s="22">
        <v>15000</v>
      </c>
      <c r="G19" s="22">
        <v>16000</v>
      </c>
      <c r="H19" s="23">
        <f>3000+15000</f>
        <v>18000</v>
      </c>
      <c r="I19" s="22">
        <f t="shared" si="0"/>
        <v>-2000</v>
      </c>
      <c r="J19" s="22" t="s">
        <v>24</v>
      </c>
      <c r="K19" s="24"/>
      <c r="L19" s="25"/>
    </row>
    <row r="20" spans="1:12" ht="15.75" x14ac:dyDescent="0.25">
      <c r="A20" s="20" t="s">
        <v>21</v>
      </c>
      <c r="B20" s="21" t="s">
        <v>544</v>
      </c>
      <c r="C20" s="28" t="s">
        <v>541</v>
      </c>
      <c r="D20" s="29" t="s">
        <v>545</v>
      </c>
      <c r="E20" s="40" t="s">
        <v>543</v>
      </c>
      <c r="F20" s="22">
        <v>64250</v>
      </c>
      <c r="G20" s="22">
        <v>50000</v>
      </c>
      <c r="H20" s="23">
        <f>6000+64250</f>
        <v>70250</v>
      </c>
      <c r="I20" s="22">
        <f t="shared" si="0"/>
        <v>-20250</v>
      </c>
      <c r="J20" s="22" t="s">
        <v>24</v>
      </c>
      <c r="K20" s="24"/>
      <c r="L20" s="25"/>
    </row>
    <row r="21" spans="1:12" ht="15.75" x14ac:dyDescent="0.25">
      <c r="A21" s="20" t="s">
        <v>40</v>
      </c>
      <c r="B21" s="21" t="s">
        <v>454</v>
      </c>
      <c r="C21" s="28" t="s">
        <v>15</v>
      </c>
      <c r="D21" s="29" t="s">
        <v>68</v>
      </c>
      <c r="E21" s="40" t="s">
        <v>69</v>
      </c>
      <c r="F21" s="22">
        <v>30000</v>
      </c>
      <c r="G21" s="22">
        <v>2000000</v>
      </c>
      <c r="H21" s="23">
        <f>50000+37000+80000+90000+60000+35000+30000</f>
        <v>382000</v>
      </c>
      <c r="I21" s="22">
        <f t="shared" si="0"/>
        <v>1618000</v>
      </c>
      <c r="J21" s="22" t="s">
        <v>16</v>
      </c>
      <c r="K21" s="24"/>
      <c r="L21" s="25"/>
    </row>
    <row r="22" spans="1:12" ht="16.5" thickBot="1" x14ac:dyDescent="0.3">
      <c r="A22" s="30"/>
      <c r="B22" s="31"/>
      <c r="C22" s="32"/>
      <c r="D22" s="33"/>
      <c r="E22" s="41"/>
      <c r="F22" s="34"/>
      <c r="G22" s="34"/>
      <c r="H22" s="35"/>
      <c r="I22" s="34"/>
      <c r="J22" s="34" t="s">
        <v>64</v>
      </c>
      <c r="K22" s="36"/>
      <c r="L22" s="37"/>
    </row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L102"/>
  <sheetViews>
    <sheetView workbookViewId="0">
      <pane xSplit="3" topLeftCell="D1" activePane="topRight" state="frozen"/>
      <selection pane="topRight" activeCell="D14" sqref="D14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25</v>
      </c>
      <c r="B4" s="15" t="s">
        <v>564</v>
      </c>
      <c r="C4" s="26" t="s">
        <v>565</v>
      </c>
      <c r="D4" s="27" t="s">
        <v>240</v>
      </c>
      <c r="E4" s="39" t="s">
        <v>566</v>
      </c>
      <c r="F4" s="16">
        <v>100</v>
      </c>
      <c r="G4" s="16">
        <v>100</v>
      </c>
      <c r="H4" s="17">
        <v>100</v>
      </c>
      <c r="I4" s="16">
        <f t="shared" ref="I4:I16" si="0">G4-H4</f>
        <v>0</v>
      </c>
      <c r="J4" s="16" t="s">
        <v>23</v>
      </c>
      <c r="K4" s="18"/>
      <c r="L4" s="19"/>
    </row>
    <row r="5" spans="1:12" ht="15.75" x14ac:dyDescent="0.25">
      <c r="A5" s="20" t="s">
        <v>21</v>
      </c>
      <c r="B5" s="21" t="s">
        <v>567</v>
      </c>
      <c r="C5" s="28" t="s">
        <v>15</v>
      </c>
      <c r="D5" s="29" t="s">
        <v>18</v>
      </c>
      <c r="E5" s="40" t="s">
        <v>74</v>
      </c>
      <c r="F5" s="22">
        <f>11000+3000</f>
        <v>14000</v>
      </c>
      <c r="G5" s="22">
        <v>50000</v>
      </c>
      <c r="H5" s="23">
        <v>30000</v>
      </c>
      <c r="I5" s="22">
        <f t="shared" si="0"/>
        <v>20000</v>
      </c>
      <c r="J5" s="22" t="s">
        <v>16</v>
      </c>
      <c r="K5" s="24"/>
      <c r="L5" s="25"/>
    </row>
    <row r="6" spans="1:12" ht="15.75" x14ac:dyDescent="0.25">
      <c r="A6" s="20" t="s">
        <v>228</v>
      </c>
      <c r="B6" s="21" t="s">
        <v>568</v>
      </c>
      <c r="C6" s="28" t="s">
        <v>511</v>
      </c>
      <c r="D6" s="29" t="s">
        <v>18</v>
      </c>
      <c r="E6" s="40" t="s">
        <v>168</v>
      </c>
      <c r="F6" s="22">
        <v>14000</v>
      </c>
      <c r="G6" s="22">
        <v>20000</v>
      </c>
      <c r="H6" s="23">
        <v>14000</v>
      </c>
      <c r="I6" s="22">
        <f>G6-H6</f>
        <v>6000</v>
      </c>
      <c r="J6" s="22" t="s">
        <v>16</v>
      </c>
      <c r="K6" s="24"/>
      <c r="L6" s="25"/>
    </row>
    <row r="7" spans="1:12" ht="15.75" x14ac:dyDescent="0.25">
      <c r="A7" s="20" t="s">
        <v>569</v>
      </c>
      <c r="B7" s="21" t="s">
        <v>570</v>
      </c>
      <c r="C7" s="28" t="s">
        <v>565</v>
      </c>
      <c r="D7" s="29" t="s">
        <v>240</v>
      </c>
      <c r="E7" s="40" t="s">
        <v>571</v>
      </c>
      <c r="F7" s="22">
        <v>5</v>
      </c>
      <c r="G7" s="22">
        <v>5</v>
      </c>
      <c r="H7" s="23">
        <v>5</v>
      </c>
      <c r="I7" s="22">
        <f t="shared" ref="I7" si="1">G7-H7</f>
        <v>0</v>
      </c>
      <c r="J7" s="22" t="s">
        <v>23</v>
      </c>
      <c r="K7" s="24"/>
      <c r="L7" s="25"/>
    </row>
    <row r="8" spans="1:12" ht="15.75" x14ac:dyDescent="0.25">
      <c r="A8" s="20" t="s">
        <v>244</v>
      </c>
      <c r="B8" s="21" t="s">
        <v>572</v>
      </c>
      <c r="C8" s="28" t="s">
        <v>15</v>
      </c>
      <c r="D8" s="29" t="s">
        <v>551</v>
      </c>
      <c r="E8" s="40" t="s">
        <v>573</v>
      </c>
      <c r="F8" s="22">
        <v>29</v>
      </c>
      <c r="G8" s="22">
        <v>40</v>
      </c>
      <c r="H8" s="23">
        <v>29</v>
      </c>
      <c r="I8" s="22">
        <f>G8-H8</f>
        <v>11</v>
      </c>
      <c r="J8" s="22" t="s">
        <v>16</v>
      </c>
      <c r="K8" s="24"/>
      <c r="L8" s="25"/>
    </row>
    <row r="9" spans="1:12" ht="15.75" x14ac:dyDescent="0.25">
      <c r="A9" s="20" t="s">
        <v>244</v>
      </c>
      <c r="B9" s="21" t="s">
        <v>550</v>
      </c>
      <c r="C9" s="28" t="s">
        <v>15</v>
      </c>
      <c r="D9" s="29" t="s">
        <v>551</v>
      </c>
      <c r="E9" s="40" t="s">
        <v>574</v>
      </c>
      <c r="F9" s="22">
        <v>30</v>
      </c>
      <c r="G9" s="22">
        <v>30</v>
      </c>
      <c r="H9" s="23">
        <v>30</v>
      </c>
      <c r="I9" s="22">
        <f t="shared" si="0"/>
        <v>0</v>
      </c>
      <c r="J9" s="22" t="s">
        <v>23</v>
      </c>
      <c r="K9" s="24"/>
      <c r="L9" s="25"/>
    </row>
    <row r="10" spans="1:12" ht="15.75" x14ac:dyDescent="0.25">
      <c r="A10" s="20" t="s">
        <v>40</v>
      </c>
      <c r="B10" s="21" t="s">
        <v>512</v>
      </c>
      <c r="C10" s="28" t="s">
        <v>62</v>
      </c>
      <c r="D10" s="29" t="s">
        <v>54</v>
      </c>
      <c r="E10" s="40" t="s">
        <v>59</v>
      </c>
      <c r="F10" s="22">
        <v>100000</v>
      </c>
      <c r="G10" s="22">
        <v>300000</v>
      </c>
      <c r="H10" s="23">
        <f>28000+24000+100000</f>
        <v>152000</v>
      </c>
      <c r="I10" s="22">
        <f>G10-H10</f>
        <v>148000</v>
      </c>
      <c r="J10" s="22" t="s">
        <v>16</v>
      </c>
      <c r="K10" s="24"/>
      <c r="L10" s="25"/>
    </row>
    <row r="11" spans="1:12" ht="15.75" x14ac:dyDescent="0.25">
      <c r="A11" s="20" t="s">
        <v>244</v>
      </c>
      <c r="B11" s="21" t="s">
        <v>575</v>
      </c>
      <c r="C11" s="28" t="s">
        <v>15</v>
      </c>
      <c r="D11" s="29" t="s">
        <v>551</v>
      </c>
      <c r="E11" s="40" t="s">
        <v>576</v>
      </c>
      <c r="F11" s="22">
        <v>20</v>
      </c>
      <c r="G11" s="22">
        <v>20</v>
      </c>
      <c r="H11" s="23">
        <v>20</v>
      </c>
      <c r="I11" s="22">
        <f t="shared" si="0"/>
        <v>0</v>
      </c>
      <c r="J11" s="22" t="s">
        <v>23</v>
      </c>
      <c r="K11" s="24"/>
      <c r="L11" s="25"/>
    </row>
    <row r="12" spans="1:12" ht="15.75" x14ac:dyDescent="0.25">
      <c r="A12" s="20" t="s">
        <v>14</v>
      </c>
      <c r="B12" s="21" t="s">
        <v>389</v>
      </c>
      <c r="C12" s="28" t="s">
        <v>242</v>
      </c>
      <c r="D12" s="29" t="s">
        <v>77</v>
      </c>
      <c r="E12" s="40" t="s">
        <v>96</v>
      </c>
      <c r="F12" s="22">
        <v>23000</v>
      </c>
      <c r="G12" s="22">
        <v>200000</v>
      </c>
      <c r="H12" s="23">
        <f>81000+4000+4000+4000+4000+17000+4000+4000+15000+23000</f>
        <v>160000</v>
      </c>
      <c r="I12" s="22">
        <f t="shared" si="0"/>
        <v>40000</v>
      </c>
      <c r="J12" s="22" t="s">
        <v>16</v>
      </c>
      <c r="K12" s="24"/>
      <c r="L12" s="25"/>
    </row>
    <row r="13" spans="1:12" ht="15.75" x14ac:dyDescent="0.25">
      <c r="A13" s="20" t="s">
        <v>82</v>
      </c>
      <c r="B13" s="21" t="s">
        <v>163</v>
      </c>
      <c r="C13" s="28" t="s">
        <v>15</v>
      </c>
      <c r="D13" s="29" t="s">
        <v>374</v>
      </c>
      <c r="E13" s="40" t="s">
        <v>81</v>
      </c>
      <c r="F13" s="22">
        <v>320</v>
      </c>
      <c r="G13" s="22">
        <v>2000</v>
      </c>
      <c r="H13" s="23">
        <f>590+160+250+310+165+340+305+215+320</f>
        <v>2655</v>
      </c>
      <c r="I13" s="22">
        <f t="shared" si="0"/>
        <v>-655</v>
      </c>
      <c r="J13" s="22" t="s">
        <v>24</v>
      </c>
      <c r="K13" s="24"/>
      <c r="L13" s="25"/>
    </row>
    <row r="14" spans="1:12" ht="15.75" x14ac:dyDescent="0.25">
      <c r="A14" s="20" t="s">
        <v>577</v>
      </c>
      <c r="B14" s="21" t="s">
        <v>578</v>
      </c>
      <c r="C14" s="28" t="s">
        <v>15</v>
      </c>
      <c r="D14" s="29" t="s">
        <v>579</v>
      </c>
      <c r="E14" s="40" t="s">
        <v>580</v>
      </c>
      <c r="F14" s="22">
        <v>105.22</v>
      </c>
      <c r="G14" s="22">
        <v>100</v>
      </c>
      <c r="H14" s="23">
        <v>105.22</v>
      </c>
      <c r="I14" s="22">
        <f>G14-H14</f>
        <v>-5.2199999999999989</v>
      </c>
      <c r="J14" s="22" t="s">
        <v>24</v>
      </c>
      <c r="K14" s="24"/>
      <c r="L14" s="25"/>
    </row>
    <row r="15" spans="1:12" ht="15.75" x14ac:dyDescent="0.25">
      <c r="A15" s="20" t="s">
        <v>25</v>
      </c>
      <c r="B15" s="21" t="s">
        <v>507</v>
      </c>
      <c r="C15" s="28" t="s">
        <v>508</v>
      </c>
      <c r="D15" s="29" t="s">
        <v>509</v>
      </c>
      <c r="E15" s="40" t="s">
        <v>510</v>
      </c>
      <c r="F15" s="22">
        <v>308.60000000000002</v>
      </c>
      <c r="G15" s="22">
        <v>3900</v>
      </c>
      <c r="H15" s="23">
        <f>1192+850.4+308.6</f>
        <v>2351</v>
      </c>
      <c r="I15" s="22">
        <f t="shared" si="0"/>
        <v>1549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563</v>
      </c>
      <c r="C16" s="28" t="s">
        <v>538</v>
      </c>
      <c r="D16" s="29" t="s">
        <v>27</v>
      </c>
      <c r="E16" s="40" t="s">
        <v>539</v>
      </c>
      <c r="F16" s="22">
        <v>20750</v>
      </c>
      <c r="G16" s="22">
        <v>20000</v>
      </c>
      <c r="H16" s="23">
        <f>20750</f>
        <v>20750</v>
      </c>
      <c r="I16" s="22">
        <f t="shared" si="0"/>
        <v>-750</v>
      </c>
      <c r="J16" s="22" t="s">
        <v>24</v>
      </c>
      <c r="K16" s="24"/>
      <c r="L16" s="25"/>
    </row>
    <row r="17" spans="1:12" ht="16.5" thickBot="1" x14ac:dyDescent="0.3">
      <c r="A17" s="30"/>
      <c r="B17" s="31"/>
      <c r="C17" s="32"/>
      <c r="D17" s="33"/>
      <c r="E17" s="41"/>
      <c r="F17" s="34"/>
      <c r="G17" s="34"/>
      <c r="H17" s="35"/>
      <c r="I17" s="34"/>
      <c r="J17" s="34" t="s">
        <v>64</v>
      </c>
      <c r="K17" s="36"/>
      <c r="L17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L27"/>
  <sheetViews>
    <sheetView workbookViewId="0">
      <pane xSplit="3" topLeftCell="D1" activePane="topRight" state="frozen"/>
      <selection pane="topRight" activeCell="B12" sqref="B12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372</v>
      </c>
      <c r="C4" s="26" t="s">
        <v>15</v>
      </c>
      <c r="D4" s="27" t="s">
        <v>47</v>
      </c>
      <c r="E4" s="39" t="s">
        <v>45</v>
      </c>
      <c r="F4" s="16">
        <v>32000</v>
      </c>
      <c r="G4" s="16">
        <v>500000</v>
      </c>
      <c r="H4" s="17">
        <v>114000</v>
      </c>
      <c r="I4" s="16">
        <f t="shared" ref="I4:I26" si="0">G4-H4</f>
        <v>386000</v>
      </c>
      <c r="J4" s="16" t="s">
        <v>16</v>
      </c>
      <c r="K4" s="18"/>
      <c r="L4" s="19"/>
    </row>
    <row r="5" spans="1:12" ht="15.75" x14ac:dyDescent="0.25">
      <c r="A5" s="20" t="s">
        <v>21</v>
      </c>
      <c r="B5" s="21" t="s">
        <v>567</v>
      </c>
      <c r="C5" s="28" t="s">
        <v>15</v>
      </c>
      <c r="D5" s="29" t="s">
        <v>18</v>
      </c>
      <c r="E5" s="40" t="s">
        <v>74</v>
      </c>
      <c r="F5" s="22">
        <f>1000+8500</f>
        <v>9500</v>
      </c>
      <c r="G5" s="22">
        <v>50000</v>
      </c>
      <c r="H5" s="23">
        <f>30000+9500</f>
        <v>39500</v>
      </c>
      <c r="I5" s="22">
        <f t="shared" si="0"/>
        <v>10500</v>
      </c>
      <c r="J5" s="22" t="s">
        <v>16</v>
      </c>
      <c r="K5" s="24"/>
      <c r="L5" s="25"/>
    </row>
    <row r="6" spans="1:12" ht="15.75" x14ac:dyDescent="0.25">
      <c r="A6" s="20" t="s">
        <v>228</v>
      </c>
      <c r="B6" s="21" t="s">
        <v>568</v>
      </c>
      <c r="C6" s="28" t="s">
        <v>511</v>
      </c>
      <c r="D6" s="29" t="s">
        <v>18</v>
      </c>
      <c r="E6" s="40" t="s">
        <v>168</v>
      </c>
      <c r="F6" s="22">
        <v>3000</v>
      </c>
      <c r="G6" s="22">
        <v>20000</v>
      </c>
      <c r="H6" s="23">
        <f>14000+3000</f>
        <v>17000</v>
      </c>
      <c r="I6" s="22">
        <f>G6-H6</f>
        <v>3000</v>
      </c>
      <c r="J6" s="22" t="s">
        <v>16</v>
      </c>
      <c r="K6" s="24"/>
      <c r="L6" s="25"/>
    </row>
    <row r="7" spans="1:12" ht="15.75" x14ac:dyDescent="0.25">
      <c r="A7" s="20" t="s">
        <v>51</v>
      </c>
      <c r="B7" s="21" t="s">
        <v>587</v>
      </c>
      <c r="C7" s="28" t="s">
        <v>588</v>
      </c>
      <c r="D7" s="29" t="s">
        <v>211</v>
      </c>
      <c r="E7" s="40" t="s">
        <v>589</v>
      </c>
      <c r="F7" s="22">
        <v>25.4</v>
      </c>
      <c r="G7" s="22">
        <v>90</v>
      </c>
      <c r="H7" s="23">
        <v>25.4</v>
      </c>
      <c r="I7" s="22">
        <f t="shared" ref="I7" si="1">G7-H7</f>
        <v>64.599999999999994</v>
      </c>
      <c r="J7" s="22" t="s">
        <v>16</v>
      </c>
      <c r="K7" s="24"/>
      <c r="L7" s="25"/>
    </row>
    <row r="8" spans="1:12" ht="15.75" x14ac:dyDescent="0.25">
      <c r="A8" s="20" t="s">
        <v>244</v>
      </c>
      <c r="B8" s="21" t="s">
        <v>572</v>
      </c>
      <c r="C8" s="28" t="s">
        <v>15</v>
      </c>
      <c r="D8" s="29" t="s">
        <v>551</v>
      </c>
      <c r="E8" s="40" t="s">
        <v>573</v>
      </c>
      <c r="F8" s="22">
        <v>11</v>
      </c>
      <c r="G8" s="22">
        <v>40</v>
      </c>
      <c r="H8" s="23">
        <f>29+11</f>
        <v>40</v>
      </c>
      <c r="I8" s="22">
        <f>G8-H8</f>
        <v>0</v>
      </c>
      <c r="J8" s="22" t="s">
        <v>16</v>
      </c>
      <c r="K8" s="24"/>
      <c r="L8" s="25"/>
    </row>
    <row r="9" spans="1:12" ht="15.75" x14ac:dyDescent="0.25">
      <c r="A9" s="20" t="s">
        <v>244</v>
      </c>
      <c r="B9" s="21" t="s">
        <v>581</v>
      </c>
      <c r="C9" s="28" t="s">
        <v>15</v>
      </c>
      <c r="D9" s="29" t="s">
        <v>551</v>
      </c>
      <c r="E9" s="40" t="s">
        <v>582</v>
      </c>
      <c r="F9" s="22">
        <v>40</v>
      </c>
      <c r="G9" s="22">
        <v>40</v>
      </c>
      <c r="H9" s="23">
        <v>40</v>
      </c>
      <c r="I9" s="22">
        <f t="shared" si="0"/>
        <v>0</v>
      </c>
      <c r="J9" s="22" t="s">
        <v>23</v>
      </c>
      <c r="K9" s="24"/>
      <c r="L9" s="25"/>
    </row>
    <row r="10" spans="1:12" ht="15.75" x14ac:dyDescent="0.25">
      <c r="A10" s="20" t="s">
        <v>40</v>
      </c>
      <c r="B10" s="21" t="s">
        <v>512</v>
      </c>
      <c r="C10" s="28" t="s">
        <v>62</v>
      </c>
      <c r="D10" s="29" t="s">
        <v>54</v>
      </c>
      <c r="E10" s="40" t="s">
        <v>59</v>
      </c>
      <c r="F10" s="22">
        <v>49000</v>
      </c>
      <c r="G10" s="22">
        <v>300000</v>
      </c>
      <c r="H10" s="23">
        <f>28000+24000+100000+49000</f>
        <v>201000</v>
      </c>
      <c r="I10" s="22">
        <f>G10-H10</f>
        <v>99000</v>
      </c>
      <c r="J10" s="22" t="s">
        <v>16</v>
      </c>
      <c r="K10" s="24"/>
      <c r="L10" s="25"/>
    </row>
    <row r="11" spans="1:12" ht="15.75" x14ac:dyDescent="0.25">
      <c r="A11" s="20" t="s">
        <v>244</v>
      </c>
      <c r="B11" s="21" t="s">
        <v>583</v>
      </c>
      <c r="C11" s="28" t="s">
        <v>15</v>
      </c>
      <c r="D11" s="29" t="s">
        <v>237</v>
      </c>
      <c r="E11" s="40" t="s">
        <v>584</v>
      </c>
      <c r="F11" s="22">
        <v>13</v>
      </c>
      <c r="G11" s="22">
        <v>30</v>
      </c>
      <c r="H11" s="23">
        <v>13</v>
      </c>
      <c r="I11" s="22">
        <f t="shared" si="0"/>
        <v>17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389</v>
      </c>
      <c r="C12" s="28" t="s">
        <v>242</v>
      </c>
      <c r="D12" s="29" t="s">
        <v>77</v>
      </c>
      <c r="E12" s="40" t="s">
        <v>96</v>
      </c>
      <c r="F12" s="22">
        <v>15000</v>
      </c>
      <c r="G12" s="22">
        <v>200000</v>
      </c>
      <c r="H12" s="23">
        <f>81000+4000+4000+4000+4000+17000+4000+4000+15000+23000+15000</f>
        <v>175000</v>
      </c>
      <c r="I12" s="22">
        <f t="shared" si="0"/>
        <v>25000</v>
      </c>
      <c r="J12" s="22" t="s">
        <v>16</v>
      </c>
      <c r="K12" s="24"/>
      <c r="L12" s="25"/>
    </row>
    <row r="13" spans="1:12" ht="15.75" x14ac:dyDescent="0.25">
      <c r="A13" s="20" t="s">
        <v>82</v>
      </c>
      <c r="B13" s="21" t="s">
        <v>163</v>
      </c>
      <c r="C13" s="28" t="s">
        <v>15</v>
      </c>
      <c r="D13" s="29" t="s">
        <v>374</v>
      </c>
      <c r="E13" s="40" t="s">
        <v>81</v>
      </c>
      <c r="F13" s="22">
        <v>400</v>
      </c>
      <c r="G13" s="22">
        <v>2000</v>
      </c>
      <c r="H13" s="23">
        <f>590+160+250+310+165+340+305+215+320+400</f>
        <v>3055</v>
      </c>
      <c r="I13" s="22">
        <f t="shared" si="0"/>
        <v>-1055</v>
      </c>
      <c r="J13" s="22" t="s">
        <v>24</v>
      </c>
      <c r="K13" s="24"/>
      <c r="L13" s="25"/>
    </row>
    <row r="14" spans="1:12" ht="15.75" x14ac:dyDescent="0.25">
      <c r="A14" s="20" t="s">
        <v>19</v>
      </c>
      <c r="B14" s="21" t="s">
        <v>590</v>
      </c>
      <c r="C14" s="28" t="s">
        <v>249</v>
      </c>
      <c r="D14" s="29" t="s">
        <v>591</v>
      </c>
      <c r="E14" s="40" t="s">
        <v>55</v>
      </c>
      <c r="F14" s="22">
        <v>3840</v>
      </c>
      <c r="G14" s="22">
        <v>11000</v>
      </c>
      <c r="H14" s="23">
        <v>11840</v>
      </c>
      <c r="I14" s="22">
        <f>G14-H14</f>
        <v>-840</v>
      </c>
      <c r="J14" s="22" t="s">
        <v>24</v>
      </c>
      <c r="K14" s="24"/>
      <c r="L14" s="25"/>
    </row>
    <row r="15" spans="1:12" ht="15.75" x14ac:dyDescent="0.25">
      <c r="A15" s="20" t="s">
        <v>19</v>
      </c>
      <c r="B15" s="21" t="s">
        <v>516</v>
      </c>
      <c r="C15" s="28" t="s">
        <v>29</v>
      </c>
      <c r="D15" s="29" t="s">
        <v>592</v>
      </c>
      <c r="E15" s="40" t="s">
        <v>517</v>
      </c>
      <c r="F15" s="22">
        <v>9160</v>
      </c>
      <c r="G15" s="22">
        <v>40000</v>
      </c>
      <c r="H15" s="23">
        <v>40000</v>
      </c>
      <c r="I15" s="22">
        <f>G15-H15</f>
        <v>0</v>
      </c>
      <c r="J15" s="22" t="s">
        <v>23</v>
      </c>
      <c r="K15" s="24"/>
      <c r="L15" s="25"/>
    </row>
    <row r="16" spans="1:12" ht="15.75" x14ac:dyDescent="0.25">
      <c r="A16" s="20" t="s">
        <v>22</v>
      </c>
      <c r="B16" s="21" t="s">
        <v>455</v>
      </c>
      <c r="C16" s="28" t="s">
        <v>210</v>
      </c>
      <c r="D16" s="29" t="s">
        <v>211</v>
      </c>
      <c r="E16" s="40" t="s">
        <v>212</v>
      </c>
      <c r="F16" s="22">
        <v>1078.0999999999999</v>
      </c>
      <c r="G16" s="22">
        <v>5000</v>
      </c>
      <c r="H16" s="23">
        <f>575.7+1453.7+261.7+696.2+1003.2+1078.1</f>
        <v>5068.6000000000004</v>
      </c>
      <c r="I16" s="22">
        <f>G16-H16</f>
        <v>-68.600000000000364</v>
      </c>
      <c r="J16" s="22" t="s">
        <v>24</v>
      </c>
      <c r="K16" s="24"/>
      <c r="L16" s="25"/>
    </row>
    <row r="17" spans="1:12" ht="15.75" x14ac:dyDescent="0.25">
      <c r="A17" s="20" t="s">
        <v>17</v>
      </c>
      <c r="B17" s="21" t="s">
        <v>128</v>
      </c>
      <c r="C17" s="28" t="s">
        <v>32</v>
      </c>
      <c r="D17" s="29" t="s">
        <v>18</v>
      </c>
      <c r="E17" s="40" t="s">
        <v>33</v>
      </c>
      <c r="F17" s="22">
        <v>5300</v>
      </c>
      <c r="G17" s="22">
        <v>20000</v>
      </c>
      <c r="H17" s="23">
        <v>5300</v>
      </c>
      <c r="I17" s="22">
        <f>G17-H17</f>
        <v>14700</v>
      </c>
      <c r="J17" s="22" t="s">
        <v>16</v>
      </c>
      <c r="K17" s="24"/>
      <c r="L17" s="25"/>
    </row>
    <row r="18" spans="1:12" ht="15.75" x14ac:dyDescent="0.25">
      <c r="A18" s="20" t="s">
        <v>51</v>
      </c>
      <c r="B18" s="21" t="s">
        <v>559</v>
      </c>
      <c r="C18" s="28" t="s">
        <v>560</v>
      </c>
      <c r="D18" s="29" t="s">
        <v>561</v>
      </c>
      <c r="E18" s="40" t="s">
        <v>38</v>
      </c>
      <c r="F18" s="22">
        <v>497.25</v>
      </c>
      <c r="G18" s="22">
        <v>3000</v>
      </c>
      <c r="H18" s="23">
        <f>250.6+497.25</f>
        <v>747.85</v>
      </c>
      <c r="I18" s="22">
        <f t="shared" ref="I18" si="2">G18-H18</f>
        <v>2252.15</v>
      </c>
      <c r="J18" s="22" t="s">
        <v>16</v>
      </c>
      <c r="K18" s="24"/>
      <c r="L18" s="25"/>
    </row>
    <row r="19" spans="1:12" ht="15.75" x14ac:dyDescent="0.25">
      <c r="A19" s="20" t="s">
        <v>51</v>
      </c>
      <c r="B19" s="21" t="s">
        <v>593</v>
      </c>
      <c r="C19" s="28" t="s">
        <v>115</v>
      </c>
      <c r="D19" s="29" t="s">
        <v>43</v>
      </c>
      <c r="E19" s="40" t="s">
        <v>38</v>
      </c>
      <c r="F19" s="22">
        <v>246.35</v>
      </c>
      <c r="G19" s="22">
        <v>2000</v>
      </c>
      <c r="H19" s="23">
        <v>832.15</v>
      </c>
      <c r="I19" s="22">
        <f t="shared" ref="I19:I24" si="3">G19-H19</f>
        <v>1167.8499999999999</v>
      </c>
      <c r="J19" s="22" t="s">
        <v>16</v>
      </c>
      <c r="K19" s="24"/>
      <c r="L19" s="25"/>
    </row>
    <row r="20" spans="1:12" ht="15.75" x14ac:dyDescent="0.25">
      <c r="A20" s="20" t="s">
        <v>228</v>
      </c>
      <c r="B20" s="21" t="s">
        <v>372</v>
      </c>
      <c r="C20" s="28" t="s">
        <v>15</v>
      </c>
      <c r="D20" s="29" t="s">
        <v>18</v>
      </c>
      <c r="E20" s="40" t="s">
        <v>384</v>
      </c>
      <c r="F20" s="22">
        <v>33600</v>
      </c>
      <c r="G20" s="22">
        <v>500000</v>
      </c>
      <c r="H20" s="23">
        <v>33600</v>
      </c>
      <c r="I20" s="22">
        <f t="shared" si="3"/>
        <v>466400</v>
      </c>
      <c r="J20" s="22" t="s">
        <v>16</v>
      </c>
      <c r="K20" s="24"/>
      <c r="L20" s="25"/>
    </row>
    <row r="21" spans="1:12" ht="15.75" x14ac:dyDescent="0.25">
      <c r="A21" s="20" t="s">
        <v>21</v>
      </c>
      <c r="B21" s="21" t="s">
        <v>594</v>
      </c>
      <c r="C21" s="28" t="s">
        <v>15</v>
      </c>
      <c r="D21" s="29" t="s">
        <v>52</v>
      </c>
      <c r="E21" s="40" t="s">
        <v>112</v>
      </c>
      <c r="F21" s="22">
        <v>280</v>
      </c>
      <c r="G21" s="22">
        <v>2000</v>
      </c>
      <c r="H21" s="23">
        <v>280</v>
      </c>
      <c r="I21" s="22">
        <f t="shared" si="3"/>
        <v>1720</v>
      </c>
      <c r="J21" s="22" t="s">
        <v>16</v>
      </c>
      <c r="K21" s="24"/>
      <c r="L21" s="25"/>
    </row>
    <row r="22" spans="1:12" ht="15.75" x14ac:dyDescent="0.25">
      <c r="A22" s="20" t="s">
        <v>595</v>
      </c>
      <c r="B22" s="21" t="s">
        <v>596</v>
      </c>
      <c r="C22" s="28" t="s">
        <v>15</v>
      </c>
      <c r="D22" s="29" t="s">
        <v>35</v>
      </c>
      <c r="E22" s="40" t="s">
        <v>597</v>
      </c>
      <c r="F22" s="22">
        <v>47.6</v>
      </c>
      <c r="G22" s="22">
        <v>150</v>
      </c>
      <c r="H22" s="23">
        <v>47.6</v>
      </c>
      <c r="I22" s="22">
        <f t="shared" si="3"/>
        <v>102.4</v>
      </c>
      <c r="J22" s="22" t="s">
        <v>16</v>
      </c>
      <c r="K22" s="24"/>
      <c r="L22" s="25"/>
    </row>
    <row r="23" spans="1:12" ht="15.75" x14ac:dyDescent="0.25">
      <c r="A23" s="20" t="s">
        <v>346</v>
      </c>
      <c r="B23" s="21" t="s">
        <v>531</v>
      </c>
      <c r="C23" s="28" t="s">
        <v>187</v>
      </c>
      <c r="D23" s="29" t="s">
        <v>211</v>
      </c>
      <c r="E23" s="40" t="s">
        <v>46</v>
      </c>
      <c r="F23" s="22">
        <v>197</v>
      </c>
      <c r="G23" s="22">
        <v>500</v>
      </c>
      <c r="H23" s="23">
        <v>631.5</v>
      </c>
      <c r="I23" s="22">
        <f t="shared" si="3"/>
        <v>-131.5</v>
      </c>
      <c r="J23" s="22" t="s">
        <v>24</v>
      </c>
      <c r="K23" s="24"/>
      <c r="L23" s="25"/>
    </row>
    <row r="24" spans="1:12" ht="15.75" x14ac:dyDescent="0.25">
      <c r="A24" s="20" t="s">
        <v>346</v>
      </c>
      <c r="B24" s="21" t="s">
        <v>428</v>
      </c>
      <c r="C24" s="28" t="s">
        <v>61</v>
      </c>
      <c r="D24" s="29" t="s">
        <v>211</v>
      </c>
      <c r="E24" s="40" t="s">
        <v>46</v>
      </c>
      <c r="F24" s="22">
        <v>30</v>
      </c>
      <c r="G24" s="22">
        <v>500</v>
      </c>
      <c r="H24" s="23">
        <v>30</v>
      </c>
      <c r="I24" s="22">
        <f t="shared" si="3"/>
        <v>470</v>
      </c>
      <c r="J24" s="22" t="s">
        <v>16</v>
      </c>
      <c r="K24" s="24"/>
      <c r="L24" s="25"/>
    </row>
    <row r="25" spans="1:12" ht="15.75" x14ac:dyDescent="0.25">
      <c r="A25" s="20" t="s">
        <v>25</v>
      </c>
      <c r="B25" s="21" t="s">
        <v>507</v>
      </c>
      <c r="C25" s="28" t="s">
        <v>508</v>
      </c>
      <c r="D25" s="29" t="s">
        <v>509</v>
      </c>
      <c r="E25" s="40" t="s">
        <v>510</v>
      </c>
      <c r="F25" s="22">
        <v>82.5</v>
      </c>
      <c r="G25" s="22">
        <v>3900</v>
      </c>
      <c r="H25" s="23">
        <f>1192+850.4+308.6+82.5</f>
        <v>2433.5</v>
      </c>
      <c r="I25" s="22">
        <f t="shared" si="0"/>
        <v>1466.5</v>
      </c>
      <c r="J25" s="22" t="s">
        <v>16</v>
      </c>
      <c r="K25" s="24"/>
      <c r="L25" s="25"/>
    </row>
    <row r="26" spans="1:12" ht="15.75" x14ac:dyDescent="0.25">
      <c r="A26" s="20" t="s">
        <v>19</v>
      </c>
      <c r="B26" s="21" t="s">
        <v>585</v>
      </c>
      <c r="C26" s="28" t="s">
        <v>397</v>
      </c>
      <c r="D26" s="29" t="s">
        <v>586</v>
      </c>
      <c r="E26" s="40" t="s">
        <v>55</v>
      </c>
      <c r="F26" s="22">
        <v>5580</v>
      </c>
      <c r="G26" s="22">
        <v>14000</v>
      </c>
      <c r="H26" s="23">
        <v>5580</v>
      </c>
      <c r="I26" s="22">
        <f t="shared" si="0"/>
        <v>8420</v>
      </c>
      <c r="J26" s="22" t="s">
        <v>16</v>
      </c>
      <c r="K26" s="24"/>
      <c r="L26" s="25"/>
    </row>
    <row r="27" spans="1:12" ht="16.5" thickBot="1" x14ac:dyDescent="0.3">
      <c r="A27" s="30"/>
      <c r="B27" s="31"/>
      <c r="C27" s="32"/>
      <c r="D27" s="33"/>
      <c r="E27" s="41"/>
      <c r="F27" s="34"/>
      <c r="G27" s="34"/>
      <c r="H27" s="35"/>
      <c r="I27" s="34"/>
      <c r="J27" s="34" t="s">
        <v>64</v>
      </c>
      <c r="K27" s="36"/>
      <c r="L27" s="3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L50"/>
  <sheetViews>
    <sheetView workbookViewId="0">
      <pane xSplit="3" topLeftCell="E1" activePane="topRight" state="frozen"/>
      <selection pane="topRight" activeCell="A12" sqref="A12:XFD12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444</v>
      </c>
      <c r="C4" s="26" t="s">
        <v>15</v>
      </c>
      <c r="D4" s="27" t="s">
        <v>47</v>
      </c>
      <c r="E4" s="39" t="s">
        <v>45</v>
      </c>
      <c r="F4" s="16">
        <f>10000+38000</f>
        <v>48000</v>
      </c>
      <c r="G4" s="16">
        <v>500000</v>
      </c>
      <c r="H4" s="17">
        <f>114000+48000</f>
        <v>162000</v>
      </c>
      <c r="I4" s="16">
        <f t="shared" ref="I4:I28" si="0">G4-H4</f>
        <v>338000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606</v>
      </c>
      <c r="C5" s="28" t="s">
        <v>607</v>
      </c>
      <c r="D5" s="29" t="s">
        <v>18</v>
      </c>
      <c r="E5" s="40" t="s">
        <v>608</v>
      </c>
      <c r="F5" s="22">
        <v>868</v>
      </c>
      <c r="G5" s="22">
        <v>5000</v>
      </c>
      <c r="H5" s="23">
        <v>868</v>
      </c>
      <c r="I5" s="22">
        <f t="shared" si="0"/>
        <v>4132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609</v>
      </c>
      <c r="C6" s="28" t="s">
        <v>242</v>
      </c>
      <c r="D6" s="29" t="s">
        <v>18</v>
      </c>
      <c r="E6" s="40" t="s">
        <v>610</v>
      </c>
      <c r="F6" s="22">
        <v>13000</v>
      </c>
      <c r="G6" s="22">
        <v>20000</v>
      </c>
      <c r="H6" s="23">
        <v>13000</v>
      </c>
      <c r="I6" s="22">
        <f>G6-H6</f>
        <v>7000</v>
      </c>
      <c r="J6" s="22" t="s">
        <v>16</v>
      </c>
      <c r="K6" s="24"/>
      <c r="L6" s="25"/>
    </row>
    <row r="7" spans="1:12" ht="15.75" x14ac:dyDescent="0.25">
      <c r="A7" s="20" t="s">
        <v>51</v>
      </c>
      <c r="B7" s="21" t="s">
        <v>587</v>
      </c>
      <c r="C7" s="28" t="s">
        <v>588</v>
      </c>
      <c r="D7" s="29" t="s">
        <v>211</v>
      </c>
      <c r="E7" s="40" t="s">
        <v>589</v>
      </c>
      <c r="F7" s="22">
        <v>73.5</v>
      </c>
      <c r="G7" s="22">
        <v>90</v>
      </c>
      <c r="H7" s="23">
        <f>25.4+73.5</f>
        <v>98.9</v>
      </c>
      <c r="I7" s="22">
        <f t="shared" ref="I7" si="1">G7-H7</f>
        <v>-8.9000000000000057</v>
      </c>
      <c r="J7" s="22" t="s">
        <v>24</v>
      </c>
      <c r="K7" s="24"/>
      <c r="L7" s="25"/>
    </row>
    <row r="8" spans="1:12" ht="15.75" x14ac:dyDescent="0.25">
      <c r="A8" s="20" t="s">
        <v>244</v>
      </c>
      <c r="B8" s="21" t="s">
        <v>598</v>
      </c>
      <c r="C8" s="28" t="s">
        <v>599</v>
      </c>
      <c r="D8" s="29" t="s">
        <v>551</v>
      </c>
      <c r="E8" s="40" t="s">
        <v>338</v>
      </c>
      <c r="F8" s="22">
        <v>1000.9</v>
      </c>
      <c r="G8" s="22">
        <v>1000</v>
      </c>
      <c r="H8" s="23">
        <v>1000.9</v>
      </c>
      <c r="I8" s="22">
        <f>G8-H8</f>
        <v>-0.89999999999997726</v>
      </c>
      <c r="J8" s="22" t="s">
        <v>23</v>
      </c>
      <c r="K8" s="24"/>
      <c r="L8" s="25"/>
    </row>
    <row r="9" spans="1:12" ht="15.75" x14ac:dyDescent="0.25">
      <c r="A9" s="20" t="s">
        <v>244</v>
      </c>
      <c r="B9" s="21" t="s">
        <v>600</v>
      </c>
      <c r="C9" s="28" t="s">
        <v>599</v>
      </c>
      <c r="D9" s="29" t="s">
        <v>551</v>
      </c>
      <c r="E9" s="40" t="s">
        <v>601</v>
      </c>
      <c r="F9" s="22">
        <v>700</v>
      </c>
      <c r="G9" s="22">
        <v>640</v>
      </c>
      <c r="H9" s="23">
        <v>700</v>
      </c>
      <c r="I9" s="22">
        <f t="shared" si="0"/>
        <v>-60</v>
      </c>
      <c r="J9" s="22" t="s">
        <v>24</v>
      </c>
      <c r="K9" s="24"/>
      <c r="L9" s="25"/>
    </row>
    <row r="10" spans="1:12" ht="15.75" x14ac:dyDescent="0.25">
      <c r="A10" s="20" t="s">
        <v>40</v>
      </c>
      <c r="B10" s="21" t="s">
        <v>512</v>
      </c>
      <c r="C10" s="28" t="s">
        <v>62</v>
      </c>
      <c r="D10" s="29" t="s">
        <v>54</v>
      </c>
      <c r="E10" s="40" t="s">
        <v>59</v>
      </c>
      <c r="F10" s="22">
        <v>36000</v>
      </c>
      <c r="G10" s="22">
        <v>300000</v>
      </c>
      <c r="H10" s="23">
        <f>28000+24000+100000+49000+36000</f>
        <v>237000</v>
      </c>
      <c r="I10" s="22">
        <f>G10-H10</f>
        <v>63000</v>
      </c>
      <c r="J10" s="22" t="s">
        <v>16</v>
      </c>
      <c r="K10" s="24"/>
      <c r="L10" s="25"/>
    </row>
    <row r="11" spans="1:12" ht="15.75" x14ac:dyDescent="0.25">
      <c r="A11" s="20" t="s">
        <v>244</v>
      </c>
      <c r="B11" s="21" t="s">
        <v>583</v>
      </c>
      <c r="C11" s="28" t="s">
        <v>15</v>
      </c>
      <c r="D11" s="29" t="s">
        <v>237</v>
      </c>
      <c r="E11" s="40" t="s">
        <v>584</v>
      </c>
      <c r="F11" s="22">
        <v>17</v>
      </c>
      <c r="G11" s="22">
        <v>30</v>
      </c>
      <c r="H11" s="23">
        <f>13+17</f>
        <v>30</v>
      </c>
      <c r="I11" s="22">
        <f t="shared" si="0"/>
        <v>0</v>
      </c>
      <c r="J11" s="22" t="s">
        <v>23</v>
      </c>
      <c r="K11" s="24"/>
      <c r="L11" s="25"/>
    </row>
    <row r="12" spans="1:12" ht="15.75" x14ac:dyDescent="0.25">
      <c r="A12" s="20" t="s">
        <v>14</v>
      </c>
      <c r="B12" s="21" t="s">
        <v>389</v>
      </c>
      <c r="C12" s="28" t="s">
        <v>242</v>
      </c>
      <c r="D12" s="29" t="s">
        <v>77</v>
      </c>
      <c r="E12" s="40" t="s">
        <v>96</v>
      </c>
      <c r="F12" s="22">
        <v>7000</v>
      </c>
      <c r="G12" s="22">
        <v>200000</v>
      </c>
      <c r="H12" s="23">
        <f>81000+4000+4000+4000+4000+17000+4000+4000+15000+23000+15000+7000</f>
        <v>182000</v>
      </c>
      <c r="I12" s="22">
        <f t="shared" si="0"/>
        <v>18000</v>
      </c>
      <c r="J12" s="22" t="s">
        <v>16</v>
      </c>
      <c r="K12" s="24"/>
      <c r="L12" s="25"/>
    </row>
    <row r="13" spans="1:12" ht="15.75" x14ac:dyDescent="0.25">
      <c r="A13" s="20" t="s">
        <v>82</v>
      </c>
      <c r="B13" s="21" t="s">
        <v>605</v>
      </c>
      <c r="C13" s="28" t="s">
        <v>15</v>
      </c>
      <c r="D13" s="29" t="s">
        <v>374</v>
      </c>
      <c r="E13" s="40" t="s">
        <v>81</v>
      </c>
      <c r="F13" s="22">
        <v>380</v>
      </c>
      <c r="G13" s="22">
        <v>2000</v>
      </c>
      <c r="H13" s="23">
        <v>600</v>
      </c>
      <c r="I13" s="22">
        <f t="shared" si="0"/>
        <v>1400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378</v>
      </c>
      <c r="C14" s="28" t="s">
        <v>15</v>
      </c>
      <c r="D14" s="29" t="s">
        <v>18</v>
      </c>
      <c r="E14" s="40" t="s">
        <v>602</v>
      </c>
      <c r="F14" s="22">
        <v>335</v>
      </c>
      <c r="G14" s="22">
        <v>300</v>
      </c>
      <c r="H14" s="23">
        <v>335</v>
      </c>
      <c r="I14" s="22">
        <f>G14-H14</f>
        <v>-35</v>
      </c>
      <c r="J14" s="22" t="s">
        <v>24</v>
      </c>
      <c r="K14" s="24"/>
      <c r="L14" s="25"/>
    </row>
    <row r="15" spans="1:12" ht="15.75" x14ac:dyDescent="0.25">
      <c r="A15" s="20" t="s">
        <v>17</v>
      </c>
      <c r="B15" s="21" t="s">
        <v>611</v>
      </c>
      <c r="C15" s="28" t="s">
        <v>612</v>
      </c>
      <c r="D15" s="29" t="s">
        <v>42</v>
      </c>
      <c r="E15" s="40" t="s">
        <v>613</v>
      </c>
      <c r="F15" s="22">
        <v>5250</v>
      </c>
      <c r="G15" s="22">
        <v>6000</v>
      </c>
      <c r="H15" s="23">
        <v>5250</v>
      </c>
      <c r="I15" s="22">
        <f>G15-H15</f>
        <v>750</v>
      </c>
      <c r="J15" s="22" t="s">
        <v>16</v>
      </c>
      <c r="K15" s="24"/>
      <c r="L15" s="25"/>
    </row>
    <row r="16" spans="1:12" ht="15.75" x14ac:dyDescent="0.25">
      <c r="A16" s="20" t="s">
        <v>22</v>
      </c>
      <c r="B16" s="21" t="s">
        <v>455</v>
      </c>
      <c r="C16" s="28" t="s">
        <v>210</v>
      </c>
      <c r="D16" s="29" t="s">
        <v>211</v>
      </c>
      <c r="E16" s="40" t="s">
        <v>212</v>
      </c>
      <c r="F16" s="22">
        <v>177</v>
      </c>
      <c r="G16" s="22">
        <v>5000</v>
      </c>
      <c r="H16" s="23">
        <f>575.7+1453.7+261.7+696.2+1003.2+1078.1+177</f>
        <v>5245.6</v>
      </c>
      <c r="I16" s="22">
        <f>G16-H16</f>
        <v>-245.60000000000036</v>
      </c>
      <c r="J16" s="22" t="s">
        <v>24</v>
      </c>
      <c r="K16" s="24"/>
      <c r="L16" s="25"/>
    </row>
    <row r="17" spans="1:12" ht="15.75" x14ac:dyDescent="0.25">
      <c r="A17" s="20" t="s">
        <v>17</v>
      </c>
      <c r="B17" s="21" t="s">
        <v>128</v>
      </c>
      <c r="C17" s="28" t="s">
        <v>32</v>
      </c>
      <c r="D17" s="29" t="s">
        <v>18</v>
      </c>
      <c r="E17" s="40" t="s">
        <v>33</v>
      </c>
      <c r="F17" s="22">
        <v>491</v>
      </c>
      <c r="G17" s="22">
        <v>20000</v>
      </c>
      <c r="H17" s="23">
        <f>5300+491</f>
        <v>5791</v>
      </c>
      <c r="I17" s="22">
        <f>G17-H17</f>
        <v>14209</v>
      </c>
      <c r="J17" s="22" t="s">
        <v>16</v>
      </c>
      <c r="K17" s="24"/>
      <c r="L17" s="25"/>
    </row>
    <row r="18" spans="1:12" ht="15.75" x14ac:dyDescent="0.25">
      <c r="A18" s="20" t="s">
        <v>44</v>
      </c>
      <c r="B18" s="21" t="s">
        <v>614</v>
      </c>
      <c r="C18" s="28" t="s">
        <v>615</v>
      </c>
      <c r="D18" s="29" t="s">
        <v>47</v>
      </c>
      <c r="E18" s="40" t="s">
        <v>616</v>
      </c>
      <c r="F18" s="22">
        <v>19500</v>
      </c>
      <c r="G18" s="22">
        <v>25000</v>
      </c>
      <c r="H18" s="23">
        <v>19500</v>
      </c>
      <c r="I18" s="22">
        <f t="shared" ref="I18:I26" si="2">G18-H18</f>
        <v>5500</v>
      </c>
      <c r="J18" s="22" t="s">
        <v>16</v>
      </c>
      <c r="K18" s="24"/>
      <c r="L18" s="25"/>
    </row>
    <row r="19" spans="1:12" ht="15.75" x14ac:dyDescent="0.25">
      <c r="A19" s="20" t="s">
        <v>51</v>
      </c>
      <c r="B19" s="21" t="s">
        <v>593</v>
      </c>
      <c r="C19" s="28" t="s">
        <v>115</v>
      </c>
      <c r="D19" s="29" t="s">
        <v>43</v>
      </c>
      <c r="E19" s="40" t="s">
        <v>38</v>
      </c>
      <c r="F19" s="22">
        <v>491</v>
      </c>
      <c r="G19" s="22">
        <v>2000</v>
      </c>
      <c r="H19" s="23">
        <f>832.15+491</f>
        <v>1323.15</v>
      </c>
      <c r="I19" s="22">
        <f t="shared" si="2"/>
        <v>676.84999999999991</v>
      </c>
      <c r="J19" s="22" t="s">
        <v>16</v>
      </c>
      <c r="K19" s="24"/>
      <c r="L19" s="25"/>
    </row>
    <row r="20" spans="1:12" ht="15.75" x14ac:dyDescent="0.25">
      <c r="A20" s="20" t="s">
        <v>228</v>
      </c>
      <c r="B20" s="21" t="s">
        <v>372</v>
      </c>
      <c r="C20" s="28" t="s">
        <v>15</v>
      </c>
      <c r="D20" s="29" t="s">
        <v>18</v>
      </c>
      <c r="E20" s="40" t="s">
        <v>384</v>
      </c>
      <c r="F20" s="22">
        <v>72800</v>
      </c>
      <c r="G20" s="22">
        <v>500000</v>
      </c>
      <c r="H20" s="23">
        <f>33600+72800</f>
        <v>106400</v>
      </c>
      <c r="I20" s="22">
        <f t="shared" si="2"/>
        <v>393600</v>
      </c>
      <c r="J20" s="22" t="s">
        <v>16</v>
      </c>
      <c r="K20" s="24"/>
      <c r="L20" s="25"/>
    </row>
    <row r="21" spans="1:12" ht="15.75" x14ac:dyDescent="0.25">
      <c r="A21" s="20" t="s">
        <v>21</v>
      </c>
      <c r="B21" s="21" t="s">
        <v>594</v>
      </c>
      <c r="C21" s="28" t="s">
        <v>15</v>
      </c>
      <c r="D21" s="29" t="s">
        <v>52</v>
      </c>
      <c r="E21" s="40" t="s">
        <v>112</v>
      </c>
      <c r="F21" s="22">
        <v>377</v>
      </c>
      <c r="G21" s="22">
        <v>2000</v>
      </c>
      <c r="H21" s="23">
        <f>280+377</f>
        <v>657</v>
      </c>
      <c r="I21" s="22">
        <f t="shared" si="2"/>
        <v>1343</v>
      </c>
      <c r="J21" s="22" t="s">
        <v>16</v>
      </c>
      <c r="K21" s="24"/>
      <c r="L21" s="25"/>
    </row>
    <row r="22" spans="1:12" ht="15.75" x14ac:dyDescent="0.25">
      <c r="A22" s="20" t="s">
        <v>595</v>
      </c>
      <c r="B22" s="21" t="s">
        <v>596</v>
      </c>
      <c r="C22" s="28" t="s">
        <v>15</v>
      </c>
      <c r="D22" s="29" t="s">
        <v>35</v>
      </c>
      <c r="E22" s="40" t="s">
        <v>597</v>
      </c>
      <c r="F22" s="22">
        <v>103.25</v>
      </c>
      <c r="G22" s="22">
        <v>150</v>
      </c>
      <c r="H22" s="23">
        <f>47.6+103.25</f>
        <v>150.85</v>
      </c>
      <c r="I22" s="22">
        <f t="shared" si="2"/>
        <v>-0.84999999999999432</v>
      </c>
      <c r="J22" s="22" t="s">
        <v>23</v>
      </c>
      <c r="K22" s="24"/>
      <c r="L22" s="25"/>
    </row>
    <row r="23" spans="1:12" ht="15.75" x14ac:dyDescent="0.25">
      <c r="A23" s="20" t="s">
        <v>152</v>
      </c>
      <c r="B23" s="21" t="s">
        <v>617</v>
      </c>
      <c r="C23" s="28" t="s">
        <v>618</v>
      </c>
      <c r="D23" s="29" t="s">
        <v>619</v>
      </c>
      <c r="E23" s="40" t="s">
        <v>620</v>
      </c>
      <c r="F23" s="22">
        <v>108.05</v>
      </c>
      <c r="G23" s="22">
        <v>100</v>
      </c>
      <c r="H23" s="23">
        <v>108.05</v>
      </c>
      <c r="I23" s="22">
        <f t="shared" si="2"/>
        <v>-8.0499999999999972</v>
      </c>
      <c r="J23" s="22" t="s">
        <v>24</v>
      </c>
      <c r="K23" s="24"/>
      <c r="L23" s="25"/>
    </row>
    <row r="24" spans="1:12" ht="18.75" customHeight="1" x14ac:dyDescent="0.25">
      <c r="A24" s="20" t="s">
        <v>22</v>
      </c>
      <c r="B24" s="21" t="s">
        <v>498</v>
      </c>
      <c r="C24" s="28" t="s">
        <v>151</v>
      </c>
      <c r="D24" s="29" t="s">
        <v>240</v>
      </c>
      <c r="E24" s="40" t="s">
        <v>621</v>
      </c>
      <c r="F24" s="22">
        <v>650.79999999999995</v>
      </c>
      <c r="G24" s="22">
        <v>20000</v>
      </c>
      <c r="H24" s="23">
        <f>1743.6+650.8</f>
        <v>2394.3999999999996</v>
      </c>
      <c r="I24" s="22">
        <f>G24-H24</f>
        <v>17605.599999999999</v>
      </c>
      <c r="J24" s="22" t="s">
        <v>16</v>
      </c>
      <c r="K24" s="24"/>
      <c r="L24" s="25"/>
    </row>
    <row r="25" spans="1:12" ht="15.75" x14ac:dyDescent="0.25">
      <c r="A25" s="20" t="s">
        <v>346</v>
      </c>
      <c r="B25" s="21" t="s">
        <v>76</v>
      </c>
      <c r="C25" s="28" t="s">
        <v>330</v>
      </c>
      <c r="D25" s="29" t="s">
        <v>237</v>
      </c>
      <c r="E25" s="40" t="s">
        <v>46</v>
      </c>
      <c r="F25" s="22">
        <v>212.3</v>
      </c>
      <c r="G25" s="22">
        <v>500</v>
      </c>
      <c r="H25" s="23">
        <v>212.3</v>
      </c>
      <c r="I25" s="22">
        <f>G25-H25</f>
        <v>287.7</v>
      </c>
      <c r="J25" s="22" t="s">
        <v>16</v>
      </c>
      <c r="K25" s="24"/>
      <c r="L25" s="25"/>
    </row>
    <row r="26" spans="1:12" ht="15.75" x14ac:dyDescent="0.25">
      <c r="A26" s="20" t="s">
        <v>346</v>
      </c>
      <c r="B26" s="21" t="s">
        <v>428</v>
      </c>
      <c r="C26" s="28" t="s">
        <v>61</v>
      </c>
      <c r="D26" s="29" t="s">
        <v>211</v>
      </c>
      <c r="E26" s="40" t="s">
        <v>46</v>
      </c>
      <c r="F26" s="22">
        <v>40.799999999999997</v>
      </c>
      <c r="G26" s="22">
        <v>500</v>
      </c>
      <c r="H26" s="23">
        <f>30+40.8</f>
        <v>70.8</v>
      </c>
      <c r="I26" s="22">
        <f t="shared" si="2"/>
        <v>429.2</v>
      </c>
      <c r="J26" s="22" t="s">
        <v>16</v>
      </c>
      <c r="K26" s="24"/>
      <c r="L26" s="25"/>
    </row>
    <row r="27" spans="1:12" ht="15.75" x14ac:dyDescent="0.25">
      <c r="A27" s="20" t="s">
        <v>25</v>
      </c>
      <c r="B27" s="21" t="s">
        <v>507</v>
      </c>
      <c r="C27" s="28" t="s">
        <v>508</v>
      </c>
      <c r="D27" s="29" t="s">
        <v>509</v>
      </c>
      <c r="E27" s="40" t="s">
        <v>510</v>
      </c>
      <c r="F27" s="22">
        <v>846.1</v>
      </c>
      <c r="G27" s="22">
        <v>3900</v>
      </c>
      <c r="H27" s="23">
        <f>1192+850.4+308.6+82.5+846.1</f>
        <v>3279.6</v>
      </c>
      <c r="I27" s="22">
        <f t="shared" si="0"/>
        <v>620.40000000000009</v>
      </c>
      <c r="J27" s="22" t="s">
        <v>16</v>
      </c>
      <c r="K27" s="24"/>
      <c r="L27" s="25"/>
    </row>
    <row r="28" spans="1:12" ht="15.75" x14ac:dyDescent="0.25">
      <c r="A28" s="20" t="s">
        <v>19</v>
      </c>
      <c r="B28" s="21" t="s">
        <v>603</v>
      </c>
      <c r="C28" s="28" t="s">
        <v>83</v>
      </c>
      <c r="D28" s="29" t="s">
        <v>146</v>
      </c>
      <c r="E28" s="40" t="s">
        <v>604</v>
      </c>
      <c r="F28" s="22">
        <f>11000+8000</f>
        <v>19000</v>
      </c>
      <c r="G28" s="22">
        <v>30000</v>
      </c>
      <c r="H28" s="23">
        <v>19000</v>
      </c>
      <c r="I28" s="22">
        <f t="shared" si="0"/>
        <v>11000</v>
      </c>
      <c r="J28" s="22" t="s">
        <v>16</v>
      </c>
      <c r="K28" s="24"/>
      <c r="L28" s="25"/>
    </row>
    <row r="29" spans="1:12" ht="16.5" thickBot="1" x14ac:dyDescent="0.3">
      <c r="A29" s="30"/>
      <c r="B29" s="31"/>
      <c r="C29" s="32"/>
      <c r="D29" s="33"/>
      <c r="E29" s="41"/>
      <c r="F29" s="34"/>
      <c r="G29" s="34"/>
      <c r="H29" s="35"/>
      <c r="I29" s="34"/>
      <c r="J29" s="34" t="s">
        <v>64</v>
      </c>
      <c r="K29" s="36"/>
      <c r="L29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L55"/>
  <sheetViews>
    <sheetView workbookViewId="0">
      <pane xSplit="3" topLeftCell="E1" activePane="topRight" state="frozen"/>
      <selection pane="topRight" activeCell="H19" sqref="H1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444</v>
      </c>
      <c r="C4" s="26" t="s">
        <v>15</v>
      </c>
      <c r="D4" s="27" t="s">
        <v>47</v>
      </c>
      <c r="E4" s="39" t="s">
        <v>45</v>
      </c>
      <c r="F4" s="16">
        <v>33000</v>
      </c>
      <c r="G4" s="16">
        <v>500000</v>
      </c>
      <c r="H4" s="17">
        <f>162000+33000</f>
        <v>195000</v>
      </c>
      <c r="I4" s="16">
        <f t="shared" ref="I4:I26" si="0">G4-H4</f>
        <v>305000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606</v>
      </c>
      <c r="C5" s="28" t="s">
        <v>607</v>
      </c>
      <c r="D5" s="29" t="s">
        <v>18</v>
      </c>
      <c r="E5" s="40" t="s">
        <v>608</v>
      </c>
      <c r="F5" s="22">
        <v>2700</v>
      </c>
      <c r="G5" s="22">
        <v>5000</v>
      </c>
      <c r="H5" s="23">
        <f>868+2700</f>
        <v>3568</v>
      </c>
      <c r="I5" s="22">
        <f t="shared" si="0"/>
        <v>1432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609</v>
      </c>
      <c r="C6" s="28" t="s">
        <v>242</v>
      </c>
      <c r="D6" s="29" t="s">
        <v>18</v>
      </c>
      <c r="E6" s="40" t="s">
        <v>610</v>
      </c>
      <c r="F6" s="22">
        <v>3500</v>
      </c>
      <c r="G6" s="22">
        <v>20000</v>
      </c>
      <c r="H6" s="23">
        <f>13000+3500</f>
        <v>16500</v>
      </c>
      <c r="I6" s="22">
        <f>G6-H6</f>
        <v>3500</v>
      </c>
      <c r="J6" s="22" t="s">
        <v>16</v>
      </c>
      <c r="K6" s="24"/>
      <c r="L6" s="25"/>
    </row>
    <row r="7" spans="1:12" ht="15.75" x14ac:dyDescent="0.25">
      <c r="A7" s="20" t="s">
        <v>82</v>
      </c>
      <c r="B7" s="21" t="s">
        <v>605</v>
      </c>
      <c r="C7" s="28" t="s">
        <v>15</v>
      </c>
      <c r="D7" s="29" t="s">
        <v>374</v>
      </c>
      <c r="E7" s="40" t="s">
        <v>81</v>
      </c>
      <c r="F7" s="22">
        <v>290</v>
      </c>
      <c r="G7" s="22">
        <v>2000</v>
      </c>
      <c r="H7" s="23">
        <f>600+290</f>
        <v>890</v>
      </c>
      <c r="I7" s="22">
        <f t="shared" si="0"/>
        <v>1110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149</v>
      </c>
      <c r="C8" s="28" t="s">
        <v>625</v>
      </c>
      <c r="D8" s="29" t="s">
        <v>18</v>
      </c>
      <c r="E8" s="40" t="s">
        <v>626</v>
      </c>
      <c r="F8" s="22">
        <v>2520</v>
      </c>
      <c r="G8" s="22">
        <v>3000</v>
      </c>
      <c r="H8" s="23">
        <v>2520</v>
      </c>
      <c r="I8" s="22">
        <f>G8-H8</f>
        <v>480</v>
      </c>
      <c r="J8" s="22" t="s">
        <v>31</v>
      </c>
      <c r="K8" s="24"/>
      <c r="L8" s="25"/>
    </row>
    <row r="9" spans="1:12" ht="15.75" x14ac:dyDescent="0.25">
      <c r="A9" s="20" t="s">
        <v>17</v>
      </c>
      <c r="B9" s="21" t="s">
        <v>622</v>
      </c>
      <c r="C9" s="28" t="s">
        <v>612</v>
      </c>
      <c r="D9" s="29" t="s">
        <v>42</v>
      </c>
      <c r="E9" s="40" t="s">
        <v>613</v>
      </c>
      <c r="F9" s="22">
        <f>2500+2450</f>
        <v>4950</v>
      </c>
      <c r="G9" s="22">
        <v>5000</v>
      </c>
      <c r="H9" s="23">
        <v>4950</v>
      </c>
      <c r="I9" s="22">
        <f>G9-H9</f>
        <v>50</v>
      </c>
      <c r="J9" s="22" t="s">
        <v>31</v>
      </c>
      <c r="K9" s="24"/>
      <c r="L9" s="25"/>
    </row>
    <row r="10" spans="1:12" ht="15.75" x14ac:dyDescent="0.25">
      <c r="A10" s="20" t="s">
        <v>19</v>
      </c>
      <c r="B10" s="21" t="s">
        <v>627</v>
      </c>
      <c r="C10" s="28" t="s">
        <v>83</v>
      </c>
      <c r="D10" s="29" t="s">
        <v>628</v>
      </c>
      <c r="E10" s="40" t="s">
        <v>629</v>
      </c>
      <c r="F10" s="22">
        <v>3500</v>
      </c>
      <c r="G10" s="22">
        <v>15000</v>
      </c>
      <c r="H10" s="23">
        <v>3500</v>
      </c>
      <c r="I10" s="22">
        <f>G10-H10</f>
        <v>11500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585</v>
      </c>
      <c r="C11" s="28" t="s">
        <v>630</v>
      </c>
      <c r="D11" s="29" t="s">
        <v>146</v>
      </c>
      <c r="E11" s="40" t="s">
        <v>55</v>
      </c>
      <c r="F11" s="22">
        <f>7600</f>
        <v>7600</v>
      </c>
      <c r="G11" s="22">
        <v>14000</v>
      </c>
      <c r="H11" s="23">
        <v>12080</v>
      </c>
      <c r="I11" s="22">
        <f>G11-H11</f>
        <v>1920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631</v>
      </c>
      <c r="C12" s="28" t="s">
        <v>529</v>
      </c>
      <c r="D12" s="29" t="s">
        <v>632</v>
      </c>
      <c r="E12" s="40" t="s">
        <v>633</v>
      </c>
      <c r="F12" s="22">
        <f>111.8+52.6</f>
        <v>164.4</v>
      </c>
      <c r="G12" s="22">
        <v>150</v>
      </c>
      <c r="H12" s="23">
        <v>164.4</v>
      </c>
      <c r="I12" s="22">
        <f t="shared" ref="I12:I23" si="1">G12-H12</f>
        <v>-14.400000000000006</v>
      </c>
      <c r="J12" s="22" t="s">
        <v>23</v>
      </c>
      <c r="K12" s="24"/>
      <c r="L12" s="25"/>
    </row>
    <row r="13" spans="1:12" ht="15.75" x14ac:dyDescent="0.25">
      <c r="A13" s="20" t="s">
        <v>51</v>
      </c>
      <c r="B13" s="21" t="s">
        <v>593</v>
      </c>
      <c r="C13" s="28" t="s">
        <v>115</v>
      </c>
      <c r="D13" s="29" t="s">
        <v>43</v>
      </c>
      <c r="E13" s="40" t="s">
        <v>38</v>
      </c>
      <c r="F13" s="22">
        <v>234</v>
      </c>
      <c r="G13" s="22">
        <v>2000</v>
      </c>
      <c r="H13" s="23">
        <f>832.15+491+234</f>
        <v>1557.15</v>
      </c>
      <c r="I13" s="22">
        <f t="shared" si="1"/>
        <v>442.84999999999991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372</v>
      </c>
      <c r="C14" s="28" t="s">
        <v>15</v>
      </c>
      <c r="D14" s="29" t="s">
        <v>18</v>
      </c>
      <c r="E14" s="40" t="s">
        <v>384</v>
      </c>
      <c r="F14" s="22">
        <v>21490</v>
      </c>
      <c r="G14" s="22">
        <v>500000</v>
      </c>
      <c r="H14" s="23">
        <f>33600+72800+21490</f>
        <v>127890</v>
      </c>
      <c r="I14" s="22">
        <f t="shared" si="1"/>
        <v>372110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634</v>
      </c>
      <c r="C15" s="28" t="s">
        <v>635</v>
      </c>
      <c r="D15" s="29" t="s">
        <v>42</v>
      </c>
      <c r="E15" s="40" t="s">
        <v>365</v>
      </c>
      <c r="F15" s="22">
        <v>7900</v>
      </c>
      <c r="G15" s="22">
        <v>8000</v>
      </c>
      <c r="H15" s="23">
        <v>7900</v>
      </c>
      <c r="I15" s="22">
        <f t="shared" si="1"/>
        <v>100</v>
      </c>
      <c r="J15" s="22" t="s">
        <v>31</v>
      </c>
      <c r="K15" s="24"/>
      <c r="L15" s="25"/>
    </row>
    <row r="16" spans="1:12" ht="15.75" x14ac:dyDescent="0.25">
      <c r="A16" s="20" t="s">
        <v>228</v>
      </c>
      <c r="B16" s="21" t="s">
        <v>286</v>
      </c>
      <c r="C16" s="28" t="s">
        <v>287</v>
      </c>
      <c r="D16" s="29" t="s">
        <v>288</v>
      </c>
      <c r="E16" s="40" t="s">
        <v>289</v>
      </c>
      <c r="F16" s="22">
        <v>6460</v>
      </c>
      <c r="G16" s="22">
        <v>50000</v>
      </c>
      <c r="H16" s="23">
        <v>6460</v>
      </c>
      <c r="I16" s="22">
        <f t="shared" si="1"/>
        <v>43540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637</v>
      </c>
      <c r="C17" s="28" t="s">
        <v>287</v>
      </c>
      <c r="D17" s="29" t="s">
        <v>18</v>
      </c>
      <c r="E17" s="40" t="s">
        <v>424</v>
      </c>
      <c r="F17" s="22">
        <v>8700</v>
      </c>
      <c r="G17" s="22">
        <v>10000</v>
      </c>
      <c r="H17" s="23">
        <v>8700</v>
      </c>
      <c r="I17" s="22">
        <f t="shared" si="1"/>
        <v>1300</v>
      </c>
      <c r="J17" s="22" t="s">
        <v>16</v>
      </c>
      <c r="K17" s="24"/>
      <c r="L17" s="25"/>
    </row>
    <row r="18" spans="1:12" ht="15.75" x14ac:dyDescent="0.25">
      <c r="A18" s="20" t="s">
        <v>30</v>
      </c>
      <c r="B18" s="21">
        <v>426214</v>
      </c>
      <c r="C18" s="28" t="s">
        <v>638</v>
      </c>
      <c r="D18" s="29" t="s">
        <v>37</v>
      </c>
      <c r="E18" s="40" t="s">
        <v>80</v>
      </c>
      <c r="F18" s="22">
        <v>1300</v>
      </c>
      <c r="G18" s="22">
        <v>27000</v>
      </c>
      <c r="H18" s="23">
        <v>25300</v>
      </c>
      <c r="I18" s="22">
        <f t="shared" si="1"/>
        <v>1700</v>
      </c>
      <c r="J18" s="22" t="s">
        <v>16</v>
      </c>
      <c r="K18" s="24"/>
      <c r="L18" s="25"/>
    </row>
    <row r="19" spans="1:12" ht="15.75" x14ac:dyDescent="0.25">
      <c r="A19" s="20" t="s">
        <v>28</v>
      </c>
      <c r="B19" s="21" t="s">
        <v>372</v>
      </c>
      <c r="C19" s="28" t="s">
        <v>15</v>
      </c>
      <c r="D19" s="29" t="s">
        <v>18</v>
      </c>
      <c r="E19" s="40" t="s">
        <v>230</v>
      </c>
      <c r="F19" s="22">
        <v>16000</v>
      </c>
      <c r="G19" s="22">
        <v>200000</v>
      </c>
      <c r="H19" s="23">
        <v>16000</v>
      </c>
      <c r="I19" s="22">
        <f t="shared" si="1"/>
        <v>184000</v>
      </c>
      <c r="J19" s="22" t="s">
        <v>16</v>
      </c>
      <c r="K19" s="24"/>
      <c r="L19" s="25"/>
    </row>
    <row r="20" spans="1:12" ht="15.75" x14ac:dyDescent="0.25">
      <c r="A20" s="20" t="s">
        <v>25</v>
      </c>
      <c r="B20" s="21" t="s">
        <v>372</v>
      </c>
      <c r="C20" s="28" t="s">
        <v>15</v>
      </c>
      <c r="D20" s="29" t="s">
        <v>509</v>
      </c>
      <c r="E20" s="40" t="s">
        <v>636</v>
      </c>
      <c r="F20" s="22">
        <v>305.2</v>
      </c>
      <c r="G20" s="22">
        <v>2000</v>
      </c>
      <c r="H20" s="23">
        <v>305.2</v>
      </c>
      <c r="I20" s="22">
        <f t="shared" si="1"/>
        <v>1694.8</v>
      </c>
      <c r="J20" s="22" t="s">
        <v>16</v>
      </c>
      <c r="K20" s="24"/>
      <c r="L20" s="25"/>
    </row>
    <row r="21" spans="1:12" ht="18.75" customHeight="1" x14ac:dyDescent="0.25">
      <c r="A21" s="20" t="s">
        <v>22</v>
      </c>
      <c r="B21" s="21" t="s">
        <v>498</v>
      </c>
      <c r="C21" s="28" t="s">
        <v>151</v>
      </c>
      <c r="D21" s="29" t="s">
        <v>240</v>
      </c>
      <c r="E21" s="40" t="s">
        <v>621</v>
      </c>
      <c r="F21" s="22">
        <v>310.60000000000002</v>
      </c>
      <c r="G21" s="22">
        <v>20000</v>
      </c>
      <c r="H21" s="23">
        <f>1743.6+650.8+310.6</f>
        <v>2704.9999999999995</v>
      </c>
      <c r="I21" s="22">
        <f>G21-H21</f>
        <v>17295</v>
      </c>
      <c r="J21" s="22" t="s">
        <v>16</v>
      </c>
      <c r="K21" s="24"/>
      <c r="L21" s="25"/>
    </row>
    <row r="22" spans="1:12" ht="15.75" x14ac:dyDescent="0.25">
      <c r="A22" s="20" t="s">
        <v>346</v>
      </c>
      <c r="B22" s="21" t="s">
        <v>76</v>
      </c>
      <c r="C22" s="28" t="s">
        <v>330</v>
      </c>
      <c r="D22" s="29" t="s">
        <v>237</v>
      </c>
      <c r="E22" s="40" t="s">
        <v>46</v>
      </c>
      <c r="F22" s="22">
        <v>136.6</v>
      </c>
      <c r="G22" s="22">
        <v>500</v>
      </c>
      <c r="H22" s="23">
        <f>212.3+136.6</f>
        <v>348.9</v>
      </c>
      <c r="I22" s="22">
        <f>G22-H22</f>
        <v>151.10000000000002</v>
      </c>
      <c r="J22" s="22" t="s">
        <v>16</v>
      </c>
      <c r="K22" s="24"/>
      <c r="L22" s="25"/>
    </row>
    <row r="23" spans="1:12" ht="15.75" x14ac:dyDescent="0.25">
      <c r="A23" s="20" t="s">
        <v>17</v>
      </c>
      <c r="B23" s="21" t="s">
        <v>623</v>
      </c>
      <c r="C23" s="28" t="s">
        <v>287</v>
      </c>
      <c r="D23" s="29" t="s">
        <v>42</v>
      </c>
      <c r="E23" s="40" t="s">
        <v>624</v>
      </c>
      <c r="F23" s="22">
        <v>500</v>
      </c>
      <c r="G23" s="22">
        <v>5000</v>
      </c>
      <c r="H23" s="23">
        <v>500</v>
      </c>
      <c r="I23" s="22">
        <f t="shared" si="1"/>
        <v>4500</v>
      </c>
      <c r="J23" s="22" t="s">
        <v>16</v>
      </c>
      <c r="K23" s="24"/>
      <c r="L23" s="25"/>
    </row>
    <row r="24" spans="1:12" ht="15.75" x14ac:dyDescent="0.25">
      <c r="A24" s="20" t="s">
        <v>25</v>
      </c>
      <c r="B24" s="21" t="s">
        <v>507</v>
      </c>
      <c r="C24" s="28" t="s">
        <v>508</v>
      </c>
      <c r="D24" s="29" t="s">
        <v>509</v>
      </c>
      <c r="E24" s="40" t="s">
        <v>510</v>
      </c>
      <c r="F24" s="22">
        <v>691.8</v>
      </c>
      <c r="G24" s="22">
        <v>3900</v>
      </c>
      <c r="H24" s="23">
        <f>1192+850.4+308.6+82.5+846.1+691.8</f>
        <v>3971.3999999999996</v>
      </c>
      <c r="I24" s="22">
        <f t="shared" si="0"/>
        <v>-71.399999999999636</v>
      </c>
      <c r="J24" s="22" t="s">
        <v>16</v>
      </c>
      <c r="K24" s="24"/>
      <c r="L24" s="25"/>
    </row>
    <row r="25" spans="1:12" ht="15.75" x14ac:dyDescent="0.25">
      <c r="A25" s="20" t="s">
        <v>19</v>
      </c>
      <c r="B25" s="21" t="s">
        <v>603</v>
      </c>
      <c r="C25" s="28" t="s">
        <v>83</v>
      </c>
      <c r="D25" s="29" t="s">
        <v>146</v>
      </c>
      <c r="E25" s="40" t="s">
        <v>604</v>
      </c>
      <c r="F25" s="22">
        <v>4900</v>
      </c>
      <c r="G25" s="22">
        <v>30000</v>
      </c>
      <c r="H25" s="23">
        <f>19000+4900</f>
        <v>23900</v>
      </c>
      <c r="I25" s="22">
        <f t="shared" si="0"/>
        <v>6100</v>
      </c>
      <c r="J25" s="22" t="s">
        <v>16</v>
      </c>
      <c r="K25" s="24"/>
      <c r="L25" s="25"/>
    </row>
    <row r="26" spans="1:12" ht="15.75" x14ac:dyDescent="0.25">
      <c r="A26" s="20" t="s">
        <v>20</v>
      </c>
      <c r="B26" s="21" t="s">
        <v>467</v>
      </c>
      <c r="C26" s="28" t="s">
        <v>530</v>
      </c>
      <c r="D26" s="29" t="s">
        <v>42</v>
      </c>
      <c r="E26" s="40" t="s">
        <v>470</v>
      </c>
      <c r="F26" s="22">
        <v>380</v>
      </c>
      <c r="G26" s="22">
        <v>20000</v>
      </c>
      <c r="H26" s="23">
        <f>12000+3500+380</f>
        <v>15880</v>
      </c>
      <c r="I26" s="22">
        <f t="shared" si="0"/>
        <v>4120</v>
      </c>
      <c r="J26" s="22" t="s">
        <v>16</v>
      </c>
      <c r="K26" s="24"/>
      <c r="L26" s="25"/>
    </row>
    <row r="27" spans="1:12" ht="16.5" thickBot="1" x14ac:dyDescent="0.3">
      <c r="A27" s="30"/>
      <c r="B27" s="31"/>
      <c r="C27" s="32"/>
      <c r="D27" s="33"/>
      <c r="E27" s="41"/>
      <c r="F27" s="34"/>
      <c r="G27" s="34"/>
      <c r="H27" s="35"/>
      <c r="I27" s="34"/>
      <c r="J27" s="34" t="s">
        <v>64</v>
      </c>
      <c r="K27" s="36"/>
      <c r="L27" s="37"/>
    </row>
    <row r="54" customFormat="1" x14ac:dyDescent="0.25"/>
    <row r="55" customFormat="1" x14ac:dyDescent="0.25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L22"/>
  <sheetViews>
    <sheetView workbookViewId="0">
      <pane xSplit="3" topLeftCell="E1" activePane="topRight" state="frozen"/>
      <selection pane="topRight" activeCell="A16" sqref="A16:XFD1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444</v>
      </c>
      <c r="C4" s="26" t="s">
        <v>15</v>
      </c>
      <c r="D4" s="27" t="s">
        <v>47</v>
      </c>
      <c r="E4" s="39" t="s">
        <v>45</v>
      </c>
      <c r="F4" s="16">
        <v>41000</v>
      </c>
      <c r="G4" s="16">
        <v>500000</v>
      </c>
      <c r="H4" s="17">
        <f>162000+33000+41000</f>
        <v>236000</v>
      </c>
      <c r="I4" s="16">
        <f t="shared" ref="I4:I21" si="0">G4-H4</f>
        <v>264000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606</v>
      </c>
      <c r="C5" s="28" t="s">
        <v>607</v>
      </c>
      <c r="D5" s="29" t="s">
        <v>18</v>
      </c>
      <c r="E5" s="40" t="s">
        <v>608</v>
      </c>
      <c r="F5" s="22">
        <v>600</v>
      </c>
      <c r="G5" s="22">
        <v>5000</v>
      </c>
      <c r="H5" s="23">
        <f>868+2700+600</f>
        <v>4168</v>
      </c>
      <c r="I5" s="22">
        <f t="shared" si="0"/>
        <v>832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609</v>
      </c>
      <c r="C6" s="28" t="s">
        <v>242</v>
      </c>
      <c r="D6" s="29" t="s">
        <v>18</v>
      </c>
      <c r="E6" s="40" t="s">
        <v>610</v>
      </c>
      <c r="F6" s="22">
        <v>2600</v>
      </c>
      <c r="G6" s="22">
        <v>20000</v>
      </c>
      <c r="H6" s="23">
        <f>13000+3500+2600</f>
        <v>19100</v>
      </c>
      <c r="I6" s="22">
        <f>G6-H6</f>
        <v>900</v>
      </c>
      <c r="J6" s="22" t="s">
        <v>16</v>
      </c>
      <c r="K6" s="24"/>
      <c r="L6" s="25"/>
    </row>
    <row r="7" spans="1:12" ht="15.75" x14ac:dyDescent="0.25">
      <c r="A7" s="20" t="s">
        <v>82</v>
      </c>
      <c r="B7" s="21" t="s">
        <v>605</v>
      </c>
      <c r="C7" s="28" t="s">
        <v>15</v>
      </c>
      <c r="D7" s="29" t="s">
        <v>374</v>
      </c>
      <c r="E7" s="40" t="s">
        <v>81</v>
      </c>
      <c r="F7" s="22">
        <v>295</v>
      </c>
      <c r="G7" s="22">
        <v>2000</v>
      </c>
      <c r="H7" s="23">
        <f>600+290+295</f>
        <v>1185</v>
      </c>
      <c r="I7" s="22">
        <f t="shared" si="0"/>
        <v>815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149</v>
      </c>
      <c r="C8" s="28" t="s">
        <v>625</v>
      </c>
      <c r="D8" s="29" t="s">
        <v>18</v>
      </c>
      <c r="E8" s="40" t="s">
        <v>626</v>
      </c>
      <c r="F8" s="22">
        <v>650</v>
      </c>
      <c r="G8" s="22">
        <v>3000</v>
      </c>
      <c r="H8" s="23">
        <f>2520+650</f>
        <v>3170</v>
      </c>
      <c r="I8" s="22">
        <f>G8-H8</f>
        <v>-170</v>
      </c>
      <c r="J8" s="22" t="s">
        <v>24</v>
      </c>
      <c r="K8" s="24"/>
      <c r="L8" s="25"/>
    </row>
    <row r="9" spans="1:12" ht="15.75" x14ac:dyDescent="0.25">
      <c r="A9" s="20" t="s">
        <v>17</v>
      </c>
      <c r="B9" s="21" t="s">
        <v>600</v>
      </c>
      <c r="C9" s="28" t="s">
        <v>645</v>
      </c>
      <c r="D9" s="29" t="s">
        <v>18</v>
      </c>
      <c r="E9" s="40" t="s">
        <v>646</v>
      </c>
      <c r="F9" s="22">
        <v>1138</v>
      </c>
      <c r="G9" s="22">
        <v>1000</v>
      </c>
      <c r="H9" s="23">
        <v>1138</v>
      </c>
      <c r="I9" s="22">
        <f>G9-H9</f>
        <v>-138</v>
      </c>
      <c r="J9" s="22" t="s">
        <v>24</v>
      </c>
      <c r="K9" s="24"/>
      <c r="L9" s="25"/>
    </row>
    <row r="10" spans="1:12" ht="15.75" x14ac:dyDescent="0.25">
      <c r="A10" s="20" t="s">
        <v>19</v>
      </c>
      <c r="B10" s="21" t="s">
        <v>627</v>
      </c>
      <c r="C10" s="28" t="s">
        <v>83</v>
      </c>
      <c r="D10" s="29" t="s">
        <v>628</v>
      </c>
      <c r="E10" s="40" t="s">
        <v>629</v>
      </c>
      <c r="F10" s="22">
        <v>11930</v>
      </c>
      <c r="G10" s="22">
        <v>15000</v>
      </c>
      <c r="H10" s="23">
        <f>3500+11930</f>
        <v>15430</v>
      </c>
      <c r="I10" s="22">
        <f>G10-H10</f>
        <v>-430</v>
      </c>
      <c r="J10" s="22" t="s">
        <v>24</v>
      </c>
      <c r="K10" s="24"/>
      <c r="L10" s="25"/>
    </row>
    <row r="11" spans="1:12" ht="15.75" x14ac:dyDescent="0.25">
      <c r="A11" s="20" t="s">
        <v>17</v>
      </c>
      <c r="B11" s="21" t="s">
        <v>647</v>
      </c>
      <c r="C11" s="28" t="s">
        <v>648</v>
      </c>
      <c r="D11" s="29" t="s">
        <v>215</v>
      </c>
      <c r="E11" s="40" t="s">
        <v>649</v>
      </c>
      <c r="F11" s="22">
        <v>4364</v>
      </c>
      <c r="G11" s="22">
        <v>5000</v>
      </c>
      <c r="H11" s="23">
        <v>4364</v>
      </c>
      <c r="I11" s="22">
        <f>G11-H11</f>
        <v>636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650</v>
      </c>
      <c r="C12" s="28" t="s">
        <v>651</v>
      </c>
      <c r="D12" s="29" t="s">
        <v>652</v>
      </c>
      <c r="E12" s="40" t="s">
        <v>653</v>
      </c>
      <c r="F12" s="22">
        <v>264.8</v>
      </c>
      <c r="G12" s="22">
        <v>300</v>
      </c>
      <c r="H12" s="23">
        <v>264.8</v>
      </c>
      <c r="I12" s="22">
        <f t="shared" ref="I12:I20" si="1">G12-H12</f>
        <v>35.199999999999989</v>
      </c>
      <c r="J12" s="22" t="s">
        <v>16</v>
      </c>
      <c r="K12" s="24"/>
      <c r="L12" s="25"/>
    </row>
    <row r="13" spans="1:12" ht="15.75" x14ac:dyDescent="0.25">
      <c r="A13" s="20" t="s">
        <v>51</v>
      </c>
      <c r="B13" s="21" t="s">
        <v>593</v>
      </c>
      <c r="C13" s="28" t="s">
        <v>115</v>
      </c>
      <c r="D13" s="29" t="s">
        <v>43</v>
      </c>
      <c r="E13" s="40" t="s">
        <v>38</v>
      </c>
      <c r="F13" s="22">
        <v>33.1</v>
      </c>
      <c r="G13" s="22">
        <v>2000</v>
      </c>
      <c r="H13" s="23">
        <f>832.15+491+234+33.1</f>
        <v>1590.25</v>
      </c>
      <c r="I13" s="22">
        <f t="shared" si="1"/>
        <v>409.75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639</v>
      </c>
      <c r="C14" s="28" t="s">
        <v>462</v>
      </c>
      <c r="D14" s="29" t="s">
        <v>18</v>
      </c>
      <c r="E14" s="40" t="s">
        <v>640</v>
      </c>
      <c r="F14" s="22">
        <v>4000</v>
      </c>
      <c r="G14" s="22">
        <v>300000</v>
      </c>
      <c r="H14" s="23">
        <v>4000</v>
      </c>
      <c r="I14" s="22">
        <f t="shared" si="1"/>
        <v>296000</v>
      </c>
      <c r="J14" s="22" t="s">
        <v>16</v>
      </c>
      <c r="K14" s="24"/>
      <c r="L14" s="25"/>
    </row>
    <row r="15" spans="1:12" ht="15.75" x14ac:dyDescent="0.25">
      <c r="A15" s="20" t="s">
        <v>22</v>
      </c>
      <c r="B15" s="21" t="s">
        <v>654</v>
      </c>
      <c r="C15" s="28" t="s">
        <v>655</v>
      </c>
      <c r="D15" s="29" t="s">
        <v>656</v>
      </c>
      <c r="E15" s="40" t="s">
        <v>657</v>
      </c>
      <c r="F15" s="22">
        <f>66.7+247.9</f>
        <v>314.60000000000002</v>
      </c>
      <c r="G15" s="22">
        <v>700</v>
      </c>
      <c r="H15" s="23">
        <v>314.60000000000002</v>
      </c>
      <c r="I15" s="22">
        <f t="shared" si="1"/>
        <v>385.4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641</v>
      </c>
      <c r="C16" s="28" t="s">
        <v>642</v>
      </c>
      <c r="D16" s="29" t="s">
        <v>288</v>
      </c>
      <c r="E16" s="40" t="s">
        <v>289</v>
      </c>
      <c r="F16" s="22">
        <v>11280</v>
      </c>
      <c r="G16" s="22">
        <v>22000</v>
      </c>
      <c r="H16" s="23">
        <f>11280</f>
        <v>11280</v>
      </c>
      <c r="I16" s="22">
        <f t="shared" si="1"/>
        <v>10720</v>
      </c>
      <c r="J16" s="22" t="s">
        <v>16</v>
      </c>
      <c r="K16" s="24"/>
      <c r="L16" s="25"/>
    </row>
    <row r="17" spans="1:12" ht="15.75" x14ac:dyDescent="0.25">
      <c r="A17" s="20" t="s">
        <v>40</v>
      </c>
      <c r="B17" s="21" t="s">
        <v>512</v>
      </c>
      <c r="C17" s="28" t="s">
        <v>62</v>
      </c>
      <c r="D17" s="29" t="s">
        <v>54</v>
      </c>
      <c r="E17" s="40" t="s">
        <v>59</v>
      </c>
      <c r="F17" s="22">
        <v>7750</v>
      </c>
      <c r="G17" s="22">
        <v>500000</v>
      </c>
      <c r="H17" s="23">
        <f>28000+24000+100000+49000+36000+7750</f>
        <v>244750</v>
      </c>
      <c r="I17" s="22">
        <f>G17-H17</f>
        <v>255250</v>
      </c>
      <c r="J17" s="22" t="s">
        <v>16</v>
      </c>
      <c r="K17" s="24"/>
      <c r="L17" s="25"/>
    </row>
    <row r="18" spans="1:12" ht="15.75" x14ac:dyDescent="0.25">
      <c r="A18" s="20" t="s">
        <v>22</v>
      </c>
      <c r="B18" s="21" t="s">
        <v>658</v>
      </c>
      <c r="C18" s="28" t="s">
        <v>659</v>
      </c>
      <c r="D18" s="29" t="s">
        <v>660</v>
      </c>
      <c r="E18" s="40" t="s">
        <v>351</v>
      </c>
      <c r="F18" s="22">
        <v>123.7</v>
      </c>
      <c r="G18" s="22">
        <v>200</v>
      </c>
      <c r="H18" s="23">
        <v>123.7</v>
      </c>
      <c r="I18" s="22">
        <f t="shared" si="1"/>
        <v>76.3</v>
      </c>
      <c r="J18" s="22" t="s">
        <v>16</v>
      </c>
      <c r="K18" s="24"/>
      <c r="L18" s="25"/>
    </row>
    <row r="19" spans="1:12" ht="15.75" x14ac:dyDescent="0.25">
      <c r="A19" s="20" t="s">
        <v>28</v>
      </c>
      <c r="B19" s="21" t="s">
        <v>372</v>
      </c>
      <c r="C19" s="28" t="s">
        <v>15</v>
      </c>
      <c r="D19" s="29" t="s">
        <v>18</v>
      </c>
      <c r="E19" s="40" t="s">
        <v>230</v>
      </c>
      <c r="F19" s="22">
        <v>36000</v>
      </c>
      <c r="G19" s="22">
        <v>200000</v>
      </c>
      <c r="H19" s="23">
        <f>16000+36000</f>
        <v>52000</v>
      </c>
      <c r="I19" s="22">
        <f t="shared" si="1"/>
        <v>148000</v>
      </c>
      <c r="J19" s="22" t="s">
        <v>16</v>
      </c>
      <c r="K19" s="24"/>
      <c r="L19" s="25"/>
    </row>
    <row r="20" spans="1:12" ht="15.75" x14ac:dyDescent="0.25">
      <c r="A20" s="20" t="s">
        <v>25</v>
      </c>
      <c r="B20" s="21" t="s">
        <v>372</v>
      </c>
      <c r="C20" s="28" t="s">
        <v>15</v>
      </c>
      <c r="D20" s="29" t="s">
        <v>509</v>
      </c>
      <c r="E20" s="40" t="s">
        <v>636</v>
      </c>
      <c r="F20" s="22">
        <v>582.9</v>
      </c>
      <c r="G20" s="22">
        <v>2000</v>
      </c>
      <c r="H20" s="23">
        <f>305.2+582.9</f>
        <v>888.09999999999991</v>
      </c>
      <c r="I20" s="22">
        <f t="shared" si="1"/>
        <v>1111.9000000000001</v>
      </c>
      <c r="J20" s="22" t="s">
        <v>16</v>
      </c>
      <c r="K20" s="24"/>
      <c r="L20" s="25"/>
    </row>
    <row r="21" spans="1:12" ht="15.75" x14ac:dyDescent="0.25">
      <c r="A21" s="20" t="s">
        <v>14</v>
      </c>
      <c r="B21" s="21" t="s">
        <v>643</v>
      </c>
      <c r="C21" s="28" t="s">
        <v>644</v>
      </c>
      <c r="D21" s="29" t="s">
        <v>42</v>
      </c>
      <c r="E21" s="40" t="s">
        <v>365</v>
      </c>
      <c r="F21" s="22">
        <v>13500</v>
      </c>
      <c r="G21" s="22">
        <v>20000</v>
      </c>
      <c r="H21" s="23">
        <v>13500</v>
      </c>
      <c r="I21" s="22">
        <f t="shared" si="0"/>
        <v>6500</v>
      </c>
      <c r="J21" s="22" t="s">
        <v>16</v>
      </c>
      <c r="K21" s="24"/>
      <c r="L21" s="25"/>
    </row>
    <row r="22" spans="1:12" ht="16.5" thickBot="1" x14ac:dyDescent="0.3">
      <c r="A22" s="30"/>
      <c r="B22" s="31"/>
      <c r="C22" s="32"/>
      <c r="D22" s="33"/>
      <c r="E22" s="41"/>
      <c r="F22" s="34"/>
      <c r="G22" s="34"/>
      <c r="H22" s="35"/>
      <c r="I22" s="34"/>
      <c r="J22" s="34" t="s">
        <v>64</v>
      </c>
      <c r="K22" s="36"/>
      <c r="L22" s="3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L18"/>
  <sheetViews>
    <sheetView workbookViewId="0">
      <pane xSplit="3" topLeftCell="D1" activePane="topRight" state="frozen"/>
      <selection pane="topRight" activeCell="A6" sqref="A6:XFD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444</v>
      </c>
      <c r="C4" s="26" t="s">
        <v>15</v>
      </c>
      <c r="D4" s="27" t="s">
        <v>47</v>
      </c>
      <c r="E4" s="39" t="s">
        <v>45</v>
      </c>
      <c r="F4" s="16">
        <v>23000</v>
      </c>
      <c r="G4" s="16">
        <v>500000</v>
      </c>
      <c r="H4" s="17">
        <f>162000+33000+41000+23000</f>
        <v>259000</v>
      </c>
      <c r="I4" s="16">
        <f t="shared" ref="I4:I7" si="0">G4-H4</f>
        <v>241000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606</v>
      </c>
      <c r="C5" s="28" t="s">
        <v>607</v>
      </c>
      <c r="D5" s="29" t="s">
        <v>18</v>
      </c>
      <c r="E5" s="40" t="s">
        <v>608</v>
      </c>
      <c r="F5" s="22">
        <v>1259</v>
      </c>
      <c r="G5" s="22">
        <v>5000</v>
      </c>
      <c r="H5" s="23">
        <f>868+2700+600+1259</f>
        <v>5427</v>
      </c>
      <c r="I5" s="22">
        <f t="shared" si="0"/>
        <v>-427</v>
      </c>
      <c r="J5" s="22" t="s">
        <v>24</v>
      </c>
      <c r="K5" s="24"/>
      <c r="L5" s="25"/>
    </row>
    <row r="6" spans="1:12" ht="15.75" x14ac:dyDescent="0.25">
      <c r="A6" s="20" t="s">
        <v>14</v>
      </c>
      <c r="B6" s="21" t="s">
        <v>389</v>
      </c>
      <c r="C6" s="28" t="s">
        <v>242</v>
      </c>
      <c r="D6" s="29" t="s">
        <v>77</v>
      </c>
      <c r="E6" s="40" t="s">
        <v>96</v>
      </c>
      <c r="F6" s="22">
        <v>4500</v>
      </c>
      <c r="G6" s="22">
        <v>200000</v>
      </c>
      <c r="H6" s="23">
        <f>81000+4000+4000+4000+4000+17000+4000+4000+15000+23000+15000+7000+4500</f>
        <v>186500</v>
      </c>
      <c r="I6" s="22">
        <f t="shared" si="0"/>
        <v>13500</v>
      </c>
      <c r="J6" s="22" t="s">
        <v>16</v>
      </c>
      <c r="K6" s="24"/>
      <c r="L6" s="25"/>
    </row>
    <row r="7" spans="1:12" ht="15.75" x14ac:dyDescent="0.25">
      <c r="A7" s="20" t="s">
        <v>231</v>
      </c>
      <c r="B7" s="21" t="s">
        <v>661</v>
      </c>
      <c r="C7" s="28" t="s">
        <v>662</v>
      </c>
      <c r="D7" s="29" t="s">
        <v>663</v>
      </c>
      <c r="E7" s="40" t="s">
        <v>664</v>
      </c>
      <c r="F7" s="22">
        <v>100</v>
      </c>
      <c r="G7" s="22">
        <v>100</v>
      </c>
      <c r="H7" s="23">
        <v>1000</v>
      </c>
      <c r="I7" s="22">
        <f t="shared" si="0"/>
        <v>-900</v>
      </c>
      <c r="J7" s="22" t="s">
        <v>23</v>
      </c>
      <c r="K7" s="24"/>
      <c r="L7" s="25"/>
    </row>
    <row r="8" spans="1:12" ht="15.75" x14ac:dyDescent="0.25">
      <c r="A8" s="20" t="s">
        <v>40</v>
      </c>
      <c r="B8" s="21" t="s">
        <v>454</v>
      </c>
      <c r="C8" s="28" t="s">
        <v>15</v>
      </c>
      <c r="D8" s="29" t="s">
        <v>54</v>
      </c>
      <c r="E8" s="40" t="s">
        <v>69</v>
      </c>
      <c r="F8" s="22">
        <v>10000</v>
      </c>
      <c r="G8" s="22">
        <v>200000</v>
      </c>
      <c r="H8" s="23">
        <v>40000</v>
      </c>
      <c r="I8" s="22">
        <f>G8-H8</f>
        <v>160000</v>
      </c>
      <c r="J8" s="22" t="s">
        <v>16</v>
      </c>
      <c r="K8" s="24"/>
      <c r="L8" s="25"/>
    </row>
    <row r="9" spans="1:12" ht="15.75" x14ac:dyDescent="0.25">
      <c r="A9" s="20" t="s">
        <v>44</v>
      </c>
      <c r="B9" s="21" t="s">
        <v>665</v>
      </c>
      <c r="C9" s="28" t="s">
        <v>666</v>
      </c>
      <c r="D9" s="29" t="s">
        <v>260</v>
      </c>
      <c r="E9" s="40" t="s">
        <v>667</v>
      </c>
      <c r="F9" s="22">
        <v>13750</v>
      </c>
      <c r="G9" s="22">
        <v>13000</v>
      </c>
      <c r="H9" s="23">
        <v>13750</v>
      </c>
      <c r="I9" s="22">
        <f>G9-H9</f>
        <v>-750</v>
      </c>
      <c r="J9" s="22" t="s">
        <v>24</v>
      </c>
      <c r="K9" s="24"/>
      <c r="L9" s="25"/>
    </row>
    <row r="10" spans="1:12" ht="15.75" x14ac:dyDescent="0.25">
      <c r="A10" s="20" t="s">
        <v>14</v>
      </c>
      <c r="B10" s="21" t="s">
        <v>668</v>
      </c>
      <c r="C10" s="28" t="s">
        <v>669</v>
      </c>
      <c r="D10" s="29" t="s">
        <v>670</v>
      </c>
      <c r="E10" s="40" t="s">
        <v>270</v>
      </c>
      <c r="F10" s="22">
        <v>1000</v>
      </c>
      <c r="G10" s="22">
        <v>4000</v>
      </c>
      <c r="H10" s="23">
        <v>1000</v>
      </c>
      <c r="I10" s="22">
        <f>G10-H10</f>
        <v>3000</v>
      </c>
      <c r="J10" s="22" t="s">
        <v>16</v>
      </c>
      <c r="K10" s="24"/>
      <c r="L10" s="25"/>
    </row>
    <row r="11" spans="1:12" ht="15.75" x14ac:dyDescent="0.25">
      <c r="A11" s="20" t="s">
        <v>30</v>
      </c>
      <c r="B11" s="21" t="s">
        <v>671</v>
      </c>
      <c r="C11" s="28" t="s">
        <v>672</v>
      </c>
      <c r="D11" s="29" t="s">
        <v>673</v>
      </c>
      <c r="E11" s="40" t="s">
        <v>674</v>
      </c>
      <c r="F11" s="22">
        <v>2000</v>
      </c>
      <c r="G11" s="22">
        <v>40000</v>
      </c>
      <c r="H11" s="23">
        <v>2000</v>
      </c>
      <c r="I11" s="22">
        <f>G11-H11</f>
        <v>38000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675</v>
      </c>
      <c r="C12" s="28" t="s">
        <v>676</v>
      </c>
      <c r="D12" s="29" t="s">
        <v>18</v>
      </c>
      <c r="E12" s="40" t="s">
        <v>677</v>
      </c>
      <c r="F12" s="22">
        <v>19250</v>
      </c>
      <c r="G12" s="22">
        <v>20000</v>
      </c>
      <c r="H12" s="23">
        <v>19250</v>
      </c>
      <c r="I12" s="22">
        <f t="shared" ref="I12:I17" si="1">G12-H12</f>
        <v>750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678</v>
      </c>
      <c r="C13" s="28" t="s">
        <v>679</v>
      </c>
      <c r="D13" s="29" t="s">
        <v>680</v>
      </c>
      <c r="E13" s="40" t="s">
        <v>681</v>
      </c>
      <c r="F13" s="22">
        <v>131.4</v>
      </c>
      <c r="G13" s="22">
        <v>500</v>
      </c>
      <c r="H13" s="23">
        <v>131.4</v>
      </c>
      <c r="I13" s="22">
        <f t="shared" si="1"/>
        <v>368.6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639</v>
      </c>
      <c r="C14" s="28" t="s">
        <v>462</v>
      </c>
      <c r="D14" s="29" t="s">
        <v>18</v>
      </c>
      <c r="E14" s="40" t="s">
        <v>640</v>
      </c>
      <c r="F14" s="22">
        <v>33380</v>
      </c>
      <c r="G14" s="22">
        <v>300000</v>
      </c>
      <c r="H14" s="23">
        <f>4000+33380</f>
        <v>37380</v>
      </c>
      <c r="I14" s="22">
        <f t="shared" si="1"/>
        <v>262620</v>
      </c>
      <c r="J14" s="22" t="s">
        <v>16</v>
      </c>
      <c r="K14" s="24"/>
      <c r="L14" s="25"/>
    </row>
    <row r="15" spans="1:12" ht="15.75" x14ac:dyDescent="0.25">
      <c r="A15" s="20" t="s">
        <v>22</v>
      </c>
      <c r="B15" s="21" t="s">
        <v>682</v>
      </c>
      <c r="C15" s="28" t="s">
        <v>330</v>
      </c>
      <c r="D15" s="29" t="s">
        <v>293</v>
      </c>
      <c r="E15" s="40" t="s">
        <v>683</v>
      </c>
      <c r="F15" s="22">
        <v>179.9</v>
      </c>
      <c r="G15" s="22">
        <v>1000</v>
      </c>
      <c r="H15" s="23">
        <v>179.9</v>
      </c>
      <c r="I15" s="22">
        <f t="shared" si="1"/>
        <v>820.1</v>
      </c>
      <c r="J15" s="22" t="s">
        <v>16</v>
      </c>
      <c r="K15" s="24"/>
      <c r="L15" s="25"/>
    </row>
    <row r="16" spans="1:12" ht="15.75" x14ac:dyDescent="0.25">
      <c r="A16" s="20" t="s">
        <v>22</v>
      </c>
      <c r="B16" s="21" t="s">
        <v>684</v>
      </c>
      <c r="C16" s="28" t="s">
        <v>330</v>
      </c>
      <c r="D16" s="29" t="s">
        <v>293</v>
      </c>
      <c r="E16" s="40" t="s">
        <v>348</v>
      </c>
      <c r="F16" s="22">
        <v>250.9</v>
      </c>
      <c r="G16" s="22">
        <v>200</v>
      </c>
      <c r="H16" s="23">
        <v>250.9</v>
      </c>
      <c r="I16" s="22">
        <f t="shared" si="1"/>
        <v>-50.900000000000006</v>
      </c>
      <c r="J16" s="22" t="s">
        <v>24</v>
      </c>
      <c r="K16" s="24"/>
      <c r="L16" s="25"/>
    </row>
    <row r="17" spans="1:12" ht="15.75" x14ac:dyDescent="0.25">
      <c r="A17" s="20" t="s">
        <v>22</v>
      </c>
      <c r="B17" s="21" t="s">
        <v>658</v>
      </c>
      <c r="C17" s="28" t="s">
        <v>659</v>
      </c>
      <c r="D17" s="29" t="s">
        <v>660</v>
      </c>
      <c r="E17" s="40" t="s">
        <v>351</v>
      </c>
      <c r="F17" s="22">
        <v>30.7</v>
      </c>
      <c r="G17" s="22">
        <v>200</v>
      </c>
      <c r="H17" s="23">
        <f>123.7+30.7</f>
        <v>154.4</v>
      </c>
      <c r="I17" s="22">
        <f t="shared" si="1"/>
        <v>45.599999999999994</v>
      </c>
      <c r="J17" s="22" t="s">
        <v>16</v>
      </c>
      <c r="K17" s="24"/>
      <c r="L17" s="25"/>
    </row>
    <row r="18" spans="1:12" ht="16.5" thickBot="1" x14ac:dyDescent="0.3">
      <c r="A18" s="30"/>
      <c r="B18" s="31"/>
      <c r="C18" s="32"/>
      <c r="D18" s="33"/>
      <c r="E18" s="41"/>
      <c r="F18" s="34"/>
      <c r="G18" s="34"/>
      <c r="H18" s="35"/>
      <c r="I18" s="34"/>
      <c r="J18" s="34" t="s">
        <v>64</v>
      </c>
      <c r="K18" s="36"/>
      <c r="L18" s="3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L16"/>
  <sheetViews>
    <sheetView workbookViewId="0">
      <pane xSplit="3" topLeftCell="D1" activePane="topRight" state="frozen"/>
      <selection pane="topRight" activeCell="A11" sqref="A11:XFD1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665</v>
      </c>
      <c r="C4" s="26" t="s">
        <v>15</v>
      </c>
      <c r="D4" s="27" t="s">
        <v>47</v>
      </c>
      <c r="E4" s="39" t="s">
        <v>667</v>
      </c>
      <c r="F4" s="16">
        <v>26000</v>
      </c>
      <c r="G4" s="16">
        <v>500000</v>
      </c>
      <c r="H4" s="17">
        <v>26000</v>
      </c>
      <c r="I4" s="16">
        <f t="shared" ref="I4:I7" si="0">G4-H4</f>
        <v>474000</v>
      </c>
      <c r="J4" s="16" t="s">
        <v>16</v>
      </c>
      <c r="K4" s="18"/>
      <c r="L4" s="19"/>
    </row>
    <row r="5" spans="1:12" ht="15.75" x14ac:dyDescent="0.25">
      <c r="A5" s="20" t="s">
        <v>28</v>
      </c>
      <c r="B5" s="21" t="s">
        <v>372</v>
      </c>
      <c r="C5" s="28" t="s">
        <v>15</v>
      </c>
      <c r="D5" s="29" t="s">
        <v>18</v>
      </c>
      <c r="E5" s="40" t="s">
        <v>384</v>
      </c>
      <c r="F5" s="22">
        <v>11200</v>
      </c>
      <c r="G5" s="22">
        <v>500000</v>
      </c>
      <c r="H5" s="23">
        <v>79100</v>
      </c>
      <c r="I5" s="22">
        <f t="shared" si="0"/>
        <v>420900</v>
      </c>
      <c r="J5" s="22" t="s">
        <v>16</v>
      </c>
      <c r="K5" s="24"/>
      <c r="L5" s="25"/>
    </row>
    <row r="6" spans="1:12" ht="15.75" x14ac:dyDescent="0.25">
      <c r="A6" s="20" t="s">
        <v>28</v>
      </c>
      <c r="B6" s="21" t="s">
        <v>690</v>
      </c>
      <c r="C6" s="28" t="s">
        <v>691</v>
      </c>
      <c r="D6" s="29" t="s">
        <v>52</v>
      </c>
      <c r="E6" s="40" t="s">
        <v>388</v>
      </c>
      <c r="F6" s="22">
        <v>2200</v>
      </c>
      <c r="G6" s="22">
        <v>2593</v>
      </c>
      <c r="H6" s="23">
        <v>2200</v>
      </c>
      <c r="I6" s="22">
        <f t="shared" si="0"/>
        <v>393</v>
      </c>
      <c r="J6" s="22" t="s">
        <v>16</v>
      </c>
      <c r="K6" s="24"/>
      <c r="L6" s="25"/>
    </row>
    <row r="7" spans="1:12" ht="15.75" x14ac:dyDescent="0.25">
      <c r="A7" s="20" t="s">
        <v>28</v>
      </c>
      <c r="B7" s="21" t="s">
        <v>372</v>
      </c>
      <c r="C7" s="28" t="s">
        <v>15</v>
      </c>
      <c r="D7" s="29" t="s">
        <v>18</v>
      </c>
      <c r="E7" s="40" t="s">
        <v>230</v>
      </c>
      <c r="F7" s="22">
        <v>24300</v>
      </c>
      <c r="G7" s="22">
        <v>200000</v>
      </c>
      <c r="H7" s="23">
        <v>116000</v>
      </c>
      <c r="I7" s="22">
        <f t="shared" si="0"/>
        <v>84000</v>
      </c>
      <c r="J7" s="22" t="s">
        <v>23</v>
      </c>
      <c r="K7" s="24"/>
      <c r="L7" s="25"/>
    </row>
    <row r="8" spans="1:12" ht="15.75" x14ac:dyDescent="0.25">
      <c r="A8" s="20" t="s">
        <v>40</v>
      </c>
      <c r="B8" s="21" t="s">
        <v>454</v>
      </c>
      <c r="C8" s="28" t="s">
        <v>15</v>
      </c>
      <c r="D8" s="29" t="s">
        <v>54</v>
      </c>
      <c r="E8" s="40" t="s">
        <v>69</v>
      </c>
      <c r="F8" s="22">
        <v>37000</v>
      </c>
      <c r="G8" s="22">
        <v>200000</v>
      </c>
      <c r="H8" s="23">
        <f>40000+37000</f>
        <v>77000</v>
      </c>
      <c r="I8" s="22">
        <f>G8-H8</f>
        <v>123000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687</v>
      </c>
      <c r="C9" s="28" t="s">
        <v>15</v>
      </c>
      <c r="D9" s="29" t="s">
        <v>688</v>
      </c>
      <c r="E9" s="40" t="s">
        <v>689</v>
      </c>
      <c r="F9" s="22">
        <v>10000</v>
      </c>
      <c r="G9" s="22">
        <v>100000</v>
      </c>
      <c r="H9" s="23">
        <v>10000</v>
      </c>
      <c r="I9" s="22">
        <f>G9-H9</f>
        <v>90000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668</v>
      </c>
      <c r="C10" s="28" t="s">
        <v>669</v>
      </c>
      <c r="D10" s="29" t="s">
        <v>670</v>
      </c>
      <c r="E10" s="40" t="s">
        <v>270</v>
      </c>
      <c r="F10" s="22">
        <v>2750</v>
      </c>
      <c r="G10" s="22">
        <v>4000</v>
      </c>
      <c r="H10" s="23">
        <f>1000+2750</f>
        <v>3750</v>
      </c>
      <c r="I10" s="22">
        <f>G10-H10</f>
        <v>250</v>
      </c>
      <c r="J10" s="22" t="s">
        <v>16</v>
      </c>
      <c r="K10" s="24"/>
      <c r="L10" s="25"/>
    </row>
    <row r="11" spans="1:12" ht="15.75" x14ac:dyDescent="0.25">
      <c r="A11" s="20" t="s">
        <v>30</v>
      </c>
      <c r="B11" s="21" t="s">
        <v>671</v>
      </c>
      <c r="C11" s="28" t="s">
        <v>672</v>
      </c>
      <c r="D11" s="29" t="s">
        <v>673</v>
      </c>
      <c r="E11" s="40" t="s">
        <v>674</v>
      </c>
      <c r="F11" s="22">
        <v>4000</v>
      </c>
      <c r="G11" s="22">
        <v>40000</v>
      </c>
      <c r="H11" s="23">
        <f>2000+4000</f>
        <v>6000</v>
      </c>
      <c r="I11" s="22">
        <f>G11-H11</f>
        <v>34000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685</v>
      </c>
      <c r="C12" s="28" t="s">
        <v>506</v>
      </c>
      <c r="D12" s="29" t="s">
        <v>686</v>
      </c>
      <c r="E12" s="40" t="s">
        <v>351</v>
      </c>
      <c r="F12" s="22">
        <v>47.7</v>
      </c>
      <c r="G12" s="22">
        <v>100</v>
      </c>
      <c r="H12" s="23">
        <v>47.7</v>
      </c>
      <c r="I12" s="22">
        <f t="shared" ref="I12:I15" si="1">G12-H12</f>
        <v>52.3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678</v>
      </c>
      <c r="C13" s="28" t="s">
        <v>679</v>
      </c>
      <c r="D13" s="29" t="s">
        <v>680</v>
      </c>
      <c r="E13" s="40" t="s">
        <v>681</v>
      </c>
      <c r="F13" s="22">
        <v>348.3</v>
      </c>
      <c r="G13" s="22">
        <v>500</v>
      </c>
      <c r="H13" s="23">
        <f>131.4+348.3</f>
        <v>479.70000000000005</v>
      </c>
      <c r="I13" s="22">
        <f t="shared" si="1"/>
        <v>20.299999999999955</v>
      </c>
      <c r="J13" s="22" t="s">
        <v>16</v>
      </c>
      <c r="K13" s="24"/>
      <c r="L13" s="25"/>
    </row>
    <row r="14" spans="1:12" ht="15.75" x14ac:dyDescent="0.25">
      <c r="A14" s="20" t="s">
        <v>19</v>
      </c>
      <c r="B14" s="21" t="s">
        <v>555</v>
      </c>
      <c r="C14" s="28" t="s">
        <v>327</v>
      </c>
      <c r="D14" s="29" t="s">
        <v>18</v>
      </c>
      <c r="E14" s="40" t="s">
        <v>328</v>
      </c>
      <c r="F14" s="22">
        <v>3670</v>
      </c>
      <c r="G14" s="22">
        <v>200000</v>
      </c>
      <c r="H14" s="23">
        <v>76000</v>
      </c>
      <c r="I14" s="22">
        <f t="shared" si="1"/>
        <v>124000</v>
      </c>
      <c r="J14" s="22" t="s">
        <v>16</v>
      </c>
      <c r="K14" s="24"/>
      <c r="L14" s="25"/>
    </row>
    <row r="15" spans="1:12" ht="15.75" x14ac:dyDescent="0.25">
      <c r="A15" s="20" t="s">
        <v>22</v>
      </c>
      <c r="B15" s="21" t="s">
        <v>658</v>
      </c>
      <c r="C15" s="28" t="s">
        <v>659</v>
      </c>
      <c r="D15" s="29" t="s">
        <v>660</v>
      </c>
      <c r="E15" s="40" t="s">
        <v>351</v>
      </c>
      <c r="F15" s="22">
        <v>41</v>
      </c>
      <c r="G15" s="22">
        <v>200</v>
      </c>
      <c r="H15" s="23">
        <f>123.7+30.7+41</f>
        <v>195.4</v>
      </c>
      <c r="I15" s="22">
        <f t="shared" si="1"/>
        <v>4.5999999999999943</v>
      </c>
      <c r="J15" s="22" t="s">
        <v>23</v>
      </c>
      <c r="K15" s="24"/>
      <c r="L15" s="25"/>
    </row>
    <row r="16" spans="1:12" ht="16.5" thickBot="1" x14ac:dyDescent="0.3">
      <c r="A16" s="30"/>
      <c r="B16" s="31"/>
      <c r="C16" s="32"/>
      <c r="D16" s="33"/>
      <c r="E16" s="41"/>
      <c r="F16" s="34"/>
      <c r="G16" s="34"/>
      <c r="H16" s="35"/>
      <c r="I16" s="34"/>
      <c r="J16" s="34" t="s">
        <v>64</v>
      </c>
      <c r="K16" s="36"/>
      <c r="L16" s="3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L16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692</v>
      </c>
      <c r="C4" s="26" t="s">
        <v>15</v>
      </c>
      <c r="D4" s="27" t="s">
        <v>693</v>
      </c>
      <c r="E4" s="39" t="s">
        <v>694</v>
      </c>
      <c r="F4" s="16">
        <v>10000</v>
      </c>
      <c r="G4" s="16">
        <v>100000</v>
      </c>
      <c r="H4" s="17">
        <v>10000</v>
      </c>
      <c r="I4" s="16">
        <f t="shared" ref="I4:I7" si="0">G4-H4</f>
        <v>90000</v>
      </c>
      <c r="J4" s="16" t="s">
        <v>16</v>
      </c>
      <c r="K4" s="18"/>
      <c r="L4" s="19"/>
    </row>
    <row r="5" spans="1:12" ht="15.75" x14ac:dyDescent="0.25">
      <c r="A5" s="20" t="s">
        <v>28</v>
      </c>
      <c r="B5" s="21" t="s">
        <v>372</v>
      </c>
      <c r="C5" s="28" t="s">
        <v>15</v>
      </c>
      <c r="D5" s="29" t="s">
        <v>18</v>
      </c>
      <c r="E5" s="40" t="s">
        <v>384</v>
      </c>
      <c r="F5" s="22">
        <v>22400</v>
      </c>
      <c r="G5" s="22">
        <v>500000</v>
      </c>
      <c r="H5" s="23">
        <f>79100+22400</f>
        <v>101500</v>
      </c>
      <c r="I5" s="22">
        <f t="shared" si="0"/>
        <v>398500</v>
      </c>
      <c r="J5" s="22" t="s">
        <v>16</v>
      </c>
      <c r="K5" s="24"/>
      <c r="L5" s="25"/>
    </row>
    <row r="6" spans="1:12" ht="15.75" x14ac:dyDescent="0.25">
      <c r="A6" s="20" t="s">
        <v>51</v>
      </c>
      <c r="B6" s="21" t="s">
        <v>695</v>
      </c>
      <c r="C6" s="28" t="s">
        <v>696</v>
      </c>
      <c r="D6" s="29" t="s">
        <v>697</v>
      </c>
      <c r="E6" s="40" t="s">
        <v>38</v>
      </c>
      <c r="F6" s="22">
        <v>522.6</v>
      </c>
      <c r="G6" s="22">
        <v>500</v>
      </c>
      <c r="H6" s="23">
        <v>522.6</v>
      </c>
      <c r="I6" s="22">
        <f t="shared" si="0"/>
        <v>-22.600000000000023</v>
      </c>
      <c r="J6" s="22" t="s">
        <v>24</v>
      </c>
      <c r="K6" s="24"/>
      <c r="L6" s="25"/>
    </row>
    <row r="7" spans="1:12" ht="15.75" x14ac:dyDescent="0.25">
      <c r="A7" s="20" t="s">
        <v>51</v>
      </c>
      <c r="B7" s="21" t="s">
        <v>698</v>
      </c>
      <c r="C7" s="28" t="s">
        <v>696</v>
      </c>
      <c r="D7" s="29" t="s">
        <v>699</v>
      </c>
      <c r="E7" s="40" t="s">
        <v>38</v>
      </c>
      <c r="F7" s="22">
        <f>32.7+440.7</f>
        <v>473.4</v>
      </c>
      <c r="G7" s="22">
        <v>500</v>
      </c>
      <c r="H7" s="23">
        <v>473.6</v>
      </c>
      <c r="I7" s="22">
        <f t="shared" si="0"/>
        <v>26.399999999999977</v>
      </c>
      <c r="J7" s="22" t="s">
        <v>31</v>
      </c>
      <c r="K7" s="24"/>
      <c r="L7" s="25"/>
    </row>
    <row r="8" spans="1:12" ht="15.75" x14ac:dyDescent="0.25">
      <c r="A8" s="20" t="s">
        <v>40</v>
      </c>
      <c r="B8" s="21" t="s">
        <v>454</v>
      </c>
      <c r="C8" s="28" t="s">
        <v>15</v>
      </c>
      <c r="D8" s="29" t="s">
        <v>54</v>
      </c>
      <c r="E8" s="40" t="s">
        <v>69</v>
      </c>
      <c r="F8" s="22">
        <v>40000</v>
      </c>
      <c r="G8" s="22">
        <v>200000</v>
      </c>
      <c r="H8" s="23">
        <f>40000+37000+40000</f>
        <v>117000</v>
      </c>
      <c r="I8" s="22">
        <f>G8-H8</f>
        <v>83000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687</v>
      </c>
      <c r="C9" s="28" t="s">
        <v>15</v>
      </c>
      <c r="D9" s="29" t="s">
        <v>688</v>
      </c>
      <c r="E9" s="40" t="s">
        <v>689</v>
      </c>
      <c r="F9" s="22">
        <v>6000</v>
      </c>
      <c r="G9" s="22">
        <v>100000</v>
      </c>
      <c r="H9" s="23">
        <f>10000+6000</f>
        <v>16000</v>
      </c>
      <c r="I9" s="22">
        <f>G9-H9</f>
        <v>84000</v>
      </c>
      <c r="J9" s="22" t="s">
        <v>16</v>
      </c>
      <c r="K9" s="24"/>
      <c r="L9" s="25"/>
    </row>
    <row r="10" spans="1:12" ht="15.75" x14ac:dyDescent="0.25">
      <c r="A10" s="20" t="s">
        <v>51</v>
      </c>
      <c r="B10" s="21" t="s">
        <v>232</v>
      </c>
      <c r="C10" s="28" t="s">
        <v>701</v>
      </c>
      <c r="D10" s="29" t="s">
        <v>702</v>
      </c>
      <c r="E10" s="40" t="s">
        <v>38</v>
      </c>
      <c r="F10" s="22">
        <v>118</v>
      </c>
      <c r="G10" s="22">
        <v>2000</v>
      </c>
      <c r="H10" s="23">
        <v>1675.5</v>
      </c>
      <c r="I10" s="22">
        <v>5</v>
      </c>
      <c r="J10" s="22" t="s">
        <v>16</v>
      </c>
      <c r="K10" s="24"/>
      <c r="L10" s="25"/>
    </row>
    <row r="11" spans="1:12" ht="15.75" x14ac:dyDescent="0.25">
      <c r="A11" s="20" t="s">
        <v>22</v>
      </c>
      <c r="B11" s="21" t="s">
        <v>700</v>
      </c>
      <c r="C11" s="28" t="s">
        <v>506</v>
      </c>
      <c r="D11" s="29" t="s">
        <v>686</v>
      </c>
      <c r="E11" s="40" t="s">
        <v>351</v>
      </c>
      <c r="F11" s="22">
        <v>66.400000000000006</v>
      </c>
      <c r="G11" s="22">
        <v>100</v>
      </c>
      <c r="H11" s="23">
        <f>47.7+66.4</f>
        <v>114.10000000000001</v>
      </c>
      <c r="I11" s="22">
        <f t="shared" ref="I11" si="1">G11-H11</f>
        <v>-14.100000000000009</v>
      </c>
      <c r="J11" s="22" t="s">
        <v>24</v>
      </c>
      <c r="K11" s="24"/>
      <c r="L11" s="25"/>
    </row>
    <row r="12" spans="1:12" ht="15.75" x14ac:dyDescent="0.25">
      <c r="A12" s="20" t="s">
        <v>22</v>
      </c>
      <c r="B12" s="21" t="s">
        <v>685</v>
      </c>
      <c r="C12" s="28" t="s">
        <v>506</v>
      </c>
      <c r="D12" s="29" t="s">
        <v>686</v>
      </c>
      <c r="E12" s="40" t="s">
        <v>351</v>
      </c>
      <c r="F12" s="22">
        <f>51.5+58.8</f>
        <v>110.3</v>
      </c>
      <c r="G12" s="22">
        <v>100</v>
      </c>
      <c r="H12" s="23">
        <v>110.3</v>
      </c>
      <c r="I12" s="22">
        <f t="shared" ref="I12:I14" si="2">G12-H12</f>
        <v>-10.299999999999997</v>
      </c>
      <c r="J12" s="22" t="s">
        <v>24</v>
      </c>
      <c r="K12" s="24"/>
      <c r="L12" s="25"/>
    </row>
    <row r="13" spans="1:12" ht="15.75" x14ac:dyDescent="0.25">
      <c r="A13" s="20" t="s">
        <v>14</v>
      </c>
      <c r="B13" s="21" t="s">
        <v>389</v>
      </c>
      <c r="C13" s="28" t="s">
        <v>242</v>
      </c>
      <c r="D13" s="29" t="s">
        <v>77</v>
      </c>
      <c r="E13" s="40" t="s">
        <v>96</v>
      </c>
      <c r="F13" s="22">
        <v>3000</v>
      </c>
      <c r="G13" s="22">
        <v>200000</v>
      </c>
      <c r="H13" s="23">
        <f>81000+4000+4000+4000+4000+17000+4000+4000+15000+23000+15000+7000+4500</f>
        <v>186500</v>
      </c>
      <c r="I13" s="22">
        <f t="shared" si="2"/>
        <v>13500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703</v>
      </c>
      <c r="C14" s="28" t="s">
        <v>287</v>
      </c>
      <c r="D14" s="29" t="s">
        <v>42</v>
      </c>
      <c r="E14" s="40" t="s">
        <v>704</v>
      </c>
      <c r="F14" s="22">
        <v>1250</v>
      </c>
      <c r="G14" s="22">
        <v>5000</v>
      </c>
      <c r="H14" s="23">
        <v>1250</v>
      </c>
      <c r="I14" s="22">
        <f t="shared" si="2"/>
        <v>3750</v>
      </c>
      <c r="J14" s="22" t="s">
        <v>16</v>
      </c>
      <c r="K14" s="24"/>
      <c r="L14" s="25"/>
    </row>
    <row r="15" spans="1:12" ht="15.75" x14ac:dyDescent="0.25">
      <c r="A15" s="20" t="s">
        <v>17</v>
      </c>
      <c r="B15" s="21" t="s">
        <v>647</v>
      </c>
      <c r="C15" s="28" t="s">
        <v>648</v>
      </c>
      <c r="D15" s="29" t="s">
        <v>215</v>
      </c>
      <c r="E15" s="40" t="s">
        <v>649</v>
      </c>
      <c r="F15" s="22">
        <v>723</v>
      </c>
      <c r="G15" s="22">
        <v>5000</v>
      </c>
      <c r="H15" s="23">
        <f>4364+723</f>
        <v>5087</v>
      </c>
      <c r="I15" s="22">
        <f>G15-H15</f>
        <v>-87</v>
      </c>
      <c r="J15" s="22" t="s">
        <v>24</v>
      </c>
      <c r="K15" s="24"/>
      <c r="L15" s="25"/>
    </row>
    <row r="16" spans="1:12" ht="16.5" thickBot="1" x14ac:dyDescent="0.3">
      <c r="A16" s="30"/>
      <c r="B16" s="31"/>
      <c r="C16" s="32"/>
      <c r="D16" s="33"/>
      <c r="E16" s="41"/>
      <c r="F16" s="34"/>
      <c r="G16" s="34"/>
      <c r="H16" s="35"/>
      <c r="I16" s="34"/>
      <c r="J16" s="34" t="s">
        <v>64</v>
      </c>
      <c r="K16" s="36"/>
      <c r="L16" s="3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L19"/>
  <sheetViews>
    <sheetView workbookViewId="0">
      <pane xSplit="3" topLeftCell="D1" activePane="topRight" state="frozen"/>
      <selection pane="topRight" activeCell="A13" sqref="A13:XFD13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692</v>
      </c>
      <c r="C4" s="26" t="s">
        <v>15</v>
      </c>
      <c r="D4" s="27" t="s">
        <v>693</v>
      </c>
      <c r="E4" s="39" t="s">
        <v>694</v>
      </c>
      <c r="F4" s="16">
        <v>9600</v>
      </c>
      <c r="G4" s="16">
        <v>100000</v>
      </c>
      <c r="H4" s="17">
        <f>10000+9600</f>
        <v>19600</v>
      </c>
      <c r="I4" s="16">
        <f t="shared" ref="I4:I7" si="0">G4-H4</f>
        <v>80400</v>
      </c>
      <c r="J4" s="16" t="s">
        <v>16</v>
      </c>
      <c r="K4" s="18"/>
      <c r="L4" s="19"/>
    </row>
    <row r="5" spans="1:12" ht="15.75" x14ac:dyDescent="0.25">
      <c r="A5" s="20" t="s">
        <v>28</v>
      </c>
      <c r="B5" s="21" t="s">
        <v>372</v>
      </c>
      <c r="C5" s="28" t="s">
        <v>15</v>
      </c>
      <c r="D5" s="29" t="s">
        <v>18</v>
      </c>
      <c r="E5" s="40" t="s">
        <v>384</v>
      </c>
      <c r="F5" s="22">
        <v>1800</v>
      </c>
      <c r="G5" s="22">
        <v>500000</v>
      </c>
      <c r="H5" s="23">
        <f>79100+22400+1800</f>
        <v>103300</v>
      </c>
      <c r="I5" s="22">
        <f t="shared" si="0"/>
        <v>396700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707</v>
      </c>
      <c r="C6" s="28" t="s">
        <v>66</v>
      </c>
      <c r="D6" s="29" t="s">
        <v>18</v>
      </c>
      <c r="E6" s="40" t="s">
        <v>148</v>
      </c>
      <c r="F6" s="22">
        <v>14000</v>
      </c>
      <c r="G6" s="22">
        <v>30000</v>
      </c>
      <c r="H6" s="23">
        <v>14000</v>
      </c>
      <c r="I6" s="22">
        <f t="shared" si="0"/>
        <v>16000</v>
      </c>
      <c r="J6" s="22" t="s">
        <v>16</v>
      </c>
      <c r="K6" s="24"/>
      <c r="L6" s="25"/>
    </row>
    <row r="7" spans="1:12" ht="15.75" x14ac:dyDescent="0.25">
      <c r="A7" s="20" t="s">
        <v>28</v>
      </c>
      <c r="B7" s="21" t="s">
        <v>708</v>
      </c>
      <c r="C7" s="28" t="s">
        <v>183</v>
      </c>
      <c r="D7" s="29" t="s">
        <v>709</v>
      </c>
      <c r="E7" s="40" t="s">
        <v>184</v>
      </c>
      <c r="F7" s="22">
        <v>364.1</v>
      </c>
      <c r="G7" s="22">
        <v>400</v>
      </c>
      <c r="H7" s="23">
        <v>364.1</v>
      </c>
      <c r="I7" s="22">
        <f t="shared" si="0"/>
        <v>35.899999999999977</v>
      </c>
      <c r="J7" s="22" t="s">
        <v>16</v>
      </c>
      <c r="K7" s="24"/>
      <c r="L7" s="25"/>
    </row>
    <row r="8" spans="1:12" ht="15.75" x14ac:dyDescent="0.25">
      <c r="A8" s="20" t="s">
        <v>40</v>
      </c>
      <c r="B8" s="21" t="s">
        <v>454</v>
      </c>
      <c r="C8" s="28" t="s">
        <v>15</v>
      </c>
      <c r="D8" s="29" t="s">
        <v>54</v>
      </c>
      <c r="E8" s="40" t="s">
        <v>69</v>
      </c>
      <c r="F8" s="22">
        <v>63000</v>
      </c>
      <c r="G8" s="22">
        <v>200000</v>
      </c>
      <c r="H8" s="23">
        <f>40000+37000+40000+63000</f>
        <v>180000</v>
      </c>
      <c r="I8" s="22">
        <f>G8-H8</f>
        <v>20000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687</v>
      </c>
      <c r="C9" s="28" t="s">
        <v>15</v>
      </c>
      <c r="D9" s="29" t="s">
        <v>688</v>
      </c>
      <c r="E9" s="40" t="s">
        <v>689</v>
      </c>
      <c r="F9" s="22">
        <v>11000</v>
      </c>
      <c r="G9" s="22">
        <v>100000</v>
      </c>
      <c r="H9" s="23">
        <f>10000+6000+11000</f>
        <v>27000</v>
      </c>
      <c r="I9" s="22">
        <f>G9-H9</f>
        <v>73000</v>
      </c>
      <c r="J9" s="22" t="s">
        <v>16</v>
      </c>
      <c r="K9" s="24"/>
      <c r="L9" s="25"/>
    </row>
    <row r="10" spans="1:12" ht="15.75" x14ac:dyDescent="0.25">
      <c r="A10" s="20" t="s">
        <v>51</v>
      </c>
      <c r="B10" s="21" t="s">
        <v>232</v>
      </c>
      <c r="C10" s="28" t="s">
        <v>701</v>
      </c>
      <c r="D10" s="29" t="s">
        <v>702</v>
      </c>
      <c r="E10" s="40" t="s">
        <v>38</v>
      </c>
      <c r="F10" s="22">
        <v>178.9</v>
      </c>
      <c r="G10" s="22">
        <v>2000</v>
      </c>
      <c r="H10" s="23">
        <f>1675.5+178.9</f>
        <v>1854.4</v>
      </c>
      <c r="I10" s="22">
        <f>G10-H10</f>
        <v>145.59999999999991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705</v>
      </c>
      <c r="C11" s="28" t="s">
        <v>706</v>
      </c>
      <c r="D11" s="29" t="s">
        <v>18</v>
      </c>
      <c r="E11" s="40" t="s">
        <v>342</v>
      </c>
      <c r="F11" s="22">
        <v>1045</v>
      </c>
      <c r="G11" s="22">
        <v>1000</v>
      </c>
      <c r="H11" s="23">
        <v>1045</v>
      </c>
      <c r="I11" s="22">
        <f t="shared" ref="I11:I18" si="1">G11-H11</f>
        <v>-45</v>
      </c>
      <c r="J11" s="22" t="s">
        <v>24</v>
      </c>
      <c r="K11" s="24"/>
      <c r="L11" s="25"/>
    </row>
    <row r="12" spans="1:12" ht="15.75" x14ac:dyDescent="0.25">
      <c r="A12" s="20" t="s">
        <v>30</v>
      </c>
      <c r="B12" s="21" t="s">
        <v>671</v>
      </c>
      <c r="C12" s="28" t="s">
        <v>672</v>
      </c>
      <c r="D12" s="29" t="s">
        <v>673</v>
      </c>
      <c r="E12" s="40" t="s">
        <v>674</v>
      </c>
      <c r="F12" s="22">
        <v>1000</v>
      </c>
      <c r="G12" s="22">
        <v>40000</v>
      </c>
      <c r="H12" s="23">
        <f>2000+4000+1000</f>
        <v>7000</v>
      </c>
      <c r="I12" s="22">
        <f>G12-H12</f>
        <v>33000</v>
      </c>
      <c r="J12" s="22" t="s">
        <v>16</v>
      </c>
      <c r="K12" s="24"/>
      <c r="L12" s="25"/>
    </row>
    <row r="13" spans="1:12" ht="15.75" x14ac:dyDescent="0.25">
      <c r="A13" s="20" t="s">
        <v>14</v>
      </c>
      <c r="B13" s="21" t="s">
        <v>389</v>
      </c>
      <c r="C13" s="28" t="s">
        <v>242</v>
      </c>
      <c r="D13" s="29" t="s">
        <v>77</v>
      </c>
      <c r="E13" s="40" t="s">
        <v>96</v>
      </c>
      <c r="F13" s="22">
        <v>4000</v>
      </c>
      <c r="G13" s="22">
        <v>200000</v>
      </c>
      <c r="H13" s="23">
        <f>81000+4000+4000+4000+4000+17000+4000+4000+15000+23000+15000+7000+4500+4000</f>
        <v>190500</v>
      </c>
      <c r="I13" s="22">
        <f t="shared" si="1"/>
        <v>9500</v>
      </c>
      <c r="J13" s="22" t="s">
        <v>16</v>
      </c>
      <c r="K13" s="24"/>
      <c r="L13" s="25"/>
    </row>
    <row r="14" spans="1:12" ht="15.75" x14ac:dyDescent="0.25">
      <c r="A14" s="20" t="s">
        <v>51</v>
      </c>
      <c r="B14" s="21" t="s">
        <v>710</v>
      </c>
      <c r="C14" s="28" t="s">
        <v>696</v>
      </c>
      <c r="D14" s="29" t="s">
        <v>711</v>
      </c>
      <c r="E14" s="40" t="s">
        <v>38</v>
      </c>
      <c r="F14" s="22">
        <v>474.4</v>
      </c>
      <c r="G14" s="22">
        <v>500</v>
      </c>
      <c r="H14" s="23">
        <v>474.4</v>
      </c>
      <c r="I14" s="22">
        <f>G14-H14</f>
        <v>25.600000000000023</v>
      </c>
      <c r="J14" s="22" t="s">
        <v>16</v>
      </c>
      <c r="K14" s="24"/>
      <c r="L14" s="25"/>
    </row>
    <row r="15" spans="1:12" ht="15.75" x14ac:dyDescent="0.25">
      <c r="A15" s="20" t="s">
        <v>22</v>
      </c>
      <c r="B15" s="21" t="s">
        <v>654</v>
      </c>
      <c r="C15" s="28" t="s">
        <v>712</v>
      </c>
      <c r="D15" s="29" t="s">
        <v>673</v>
      </c>
      <c r="E15" s="40" t="s">
        <v>657</v>
      </c>
      <c r="F15" s="22">
        <v>331</v>
      </c>
      <c r="G15" s="22">
        <v>500</v>
      </c>
      <c r="H15" s="23">
        <v>331</v>
      </c>
      <c r="I15" s="22">
        <f>G15-H15</f>
        <v>169</v>
      </c>
      <c r="J15" s="22" t="s">
        <v>16</v>
      </c>
      <c r="K15" s="24"/>
      <c r="L15" s="25"/>
    </row>
    <row r="16" spans="1:12" ht="15.75" x14ac:dyDescent="0.25">
      <c r="A16" s="20" t="s">
        <v>22</v>
      </c>
      <c r="B16" s="21" t="s">
        <v>713</v>
      </c>
      <c r="C16" s="28" t="s">
        <v>714</v>
      </c>
      <c r="D16" s="29" t="s">
        <v>702</v>
      </c>
      <c r="E16" s="40" t="s">
        <v>715</v>
      </c>
      <c r="F16" s="22">
        <v>45.2</v>
      </c>
      <c r="G16" s="22">
        <v>50</v>
      </c>
      <c r="H16" s="23">
        <v>45.2</v>
      </c>
      <c r="I16" s="22">
        <f>G16-H16</f>
        <v>4.7999999999999972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703</v>
      </c>
      <c r="C17" s="28" t="s">
        <v>287</v>
      </c>
      <c r="D17" s="29" t="s">
        <v>42</v>
      </c>
      <c r="E17" s="40" t="s">
        <v>704</v>
      </c>
      <c r="F17" s="22">
        <v>2357</v>
      </c>
      <c r="G17" s="22">
        <v>5000</v>
      </c>
      <c r="H17" s="23">
        <f>1250+1257</f>
        <v>2507</v>
      </c>
      <c r="I17" s="22">
        <f t="shared" si="1"/>
        <v>2493</v>
      </c>
      <c r="J17" s="22" t="s">
        <v>16</v>
      </c>
      <c r="K17" s="24"/>
      <c r="L17" s="25"/>
    </row>
    <row r="18" spans="1:12" ht="15.75" x14ac:dyDescent="0.25">
      <c r="A18" s="20" t="s">
        <v>228</v>
      </c>
      <c r="B18" s="21" t="s">
        <v>641</v>
      </c>
      <c r="C18" s="28" t="s">
        <v>642</v>
      </c>
      <c r="D18" s="29" t="s">
        <v>288</v>
      </c>
      <c r="E18" s="40" t="s">
        <v>289</v>
      </c>
      <c r="F18" s="22">
        <v>10070</v>
      </c>
      <c r="G18" s="22">
        <v>22000</v>
      </c>
      <c r="H18" s="23">
        <f>11280+10070</f>
        <v>21350</v>
      </c>
      <c r="I18" s="22">
        <f t="shared" si="1"/>
        <v>650</v>
      </c>
      <c r="J18" s="22" t="s">
        <v>16</v>
      </c>
      <c r="K18" s="24"/>
      <c r="L18" s="25"/>
    </row>
    <row r="19" spans="1:12" ht="16.5" thickBot="1" x14ac:dyDescent="0.3">
      <c r="A19" s="30"/>
      <c r="B19" s="31"/>
      <c r="C19" s="32"/>
      <c r="D19" s="33"/>
      <c r="E19" s="41"/>
      <c r="F19" s="34"/>
      <c r="G19" s="34"/>
      <c r="H19" s="35"/>
      <c r="I19" s="34"/>
      <c r="J19" s="34" t="s">
        <v>64</v>
      </c>
      <c r="K19" s="36"/>
      <c r="L19" s="37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L26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44</v>
      </c>
      <c r="B4" s="15" t="s">
        <v>716</v>
      </c>
      <c r="C4" s="26" t="s">
        <v>15</v>
      </c>
      <c r="D4" s="27" t="s">
        <v>47</v>
      </c>
      <c r="E4" s="39" t="s">
        <v>694</v>
      </c>
      <c r="F4" s="16">
        <v>12000</v>
      </c>
      <c r="G4" s="16">
        <v>100000</v>
      </c>
      <c r="H4" s="17">
        <v>12000</v>
      </c>
      <c r="I4" s="16">
        <f t="shared" ref="I4:I7" si="0">G4-H4</f>
        <v>88000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639</v>
      </c>
      <c r="C5" s="28" t="s">
        <v>462</v>
      </c>
      <c r="D5" s="29" t="s">
        <v>18</v>
      </c>
      <c r="E5" s="40" t="s">
        <v>640</v>
      </c>
      <c r="F5" s="22">
        <v>37700</v>
      </c>
      <c r="G5" s="22">
        <v>300000</v>
      </c>
      <c r="H5" s="23">
        <v>75080</v>
      </c>
      <c r="I5" s="22">
        <f t="shared" si="0"/>
        <v>224920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717</v>
      </c>
      <c r="C6" s="28" t="s">
        <v>718</v>
      </c>
      <c r="D6" s="29" t="s">
        <v>719</v>
      </c>
      <c r="E6" s="40" t="s">
        <v>720</v>
      </c>
      <c r="F6" s="22">
        <v>235.8</v>
      </c>
      <c r="G6" s="22">
        <v>300</v>
      </c>
      <c r="H6" s="23">
        <v>235.8</v>
      </c>
      <c r="I6" s="22">
        <f t="shared" si="0"/>
        <v>64.199999999999989</v>
      </c>
      <c r="J6" s="22" t="s">
        <v>16</v>
      </c>
      <c r="K6" s="24"/>
      <c r="L6" s="25"/>
    </row>
    <row r="7" spans="1:12" ht="15.75" x14ac:dyDescent="0.25">
      <c r="A7" s="20" t="s">
        <v>28</v>
      </c>
      <c r="B7" s="21" t="s">
        <v>708</v>
      </c>
      <c r="C7" s="28" t="s">
        <v>183</v>
      </c>
      <c r="D7" s="29" t="s">
        <v>709</v>
      </c>
      <c r="E7" s="40" t="s">
        <v>184</v>
      </c>
      <c r="F7" s="22">
        <v>53.7</v>
      </c>
      <c r="G7" s="22">
        <v>400</v>
      </c>
      <c r="H7" s="23">
        <f>364.1+53.7</f>
        <v>417.8</v>
      </c>
      <c r="I7" s="22">
        <f t="shared" si="0"/>
        <v>-17.800000000000011</v>
      </c>
      <c r="J7" s="22" t="s">
        <v>24</v>
      </c>
      <c r="K7" s="24"/>
      <c r="L7" s="25"/>
    </row>
    <row r="8" spans="1:12" ht="15.75" x14ac:dyDescent="0.25">
      <c r="A8" s="20" t="s">
        <v>40</v>
      </c>
      <c r="B8" s="21" t="s">
        <v>454</v>
      </c>
      <c r="C8" s="28" t="s">
        <v>15</v>
      </c>
      <c r="D8" s="29" t="s">
        <v>54</v>
      </c>
      <c r="E8" s="40" t="s">
        <v>69</v>
      </c>
      <c r="F8" s="22">
        <v>50000</v>
      </c>
      <c r="G8" s="22">
        <v>200000</v>
      </c>
      <c r="H8" s="23">
        <f>40000+37000+40000+63000+50000</f>
        <v>230000</v>
      </c>
      <c r="I8" s="22">
        <f>G8-H8</f>
        <v>-30000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687</v>
      </c>
      <c r="C9" s="28" t="s">
        <v>15</v>
      </c>
      <c r="D9" s="29" t="s">
        <v>688</v>
      </c>
      <c r="E9" s="40" t="s">
        <v>689</v>
      </c>
      <c r="F9" s="22">
        <v>9400</v>
      </c>
      <c r="G9" s="22">
        <v>100000</v>
      </c>
      <c r="H9" s="23">
        <f>10000+6000+11000+9400</f>
        <v>36400</v>
      </c>
      <c r="I9" s="22">
        <f>G9-H9</f>
        <v>63600</v>
      </c>
      <c r="J9" s="22" t="s">
        <v>16</v>
      </c>
      <c r="K9" s="24"/>
      <c r="L9" s="25"/>
    </row>
    <row r="10" spans="1:12" ht="15.75" x14ac:dyDescent="0.25">
      <c r="A10" s="20" t="s">
        <v>28</v>
      </c>
      <c r="B10" s="21" t="s">
        <v>721</v>
      </c>
      <c r="C10" s="28" t="s">
        <v>15</v>
      </c>
      <c r="D10" s="29" t="s">
        <v>52</v>
      </c>
      <c r="E10" s="40" t="s">
        <v>722</v>
      </c>
      <c r="F10" s="22">
        <v>343.2</v>
      </c>
      <c r="G10" s="22">
        <v>2000</v>
      </c>
      <c r="H10" s="23">
        <v>343.2</v>
      </c>
      <c r="I10" s="22">
        <f>G10-H10</f>
        <v>1656.8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>
        <v>426196</v>
      </c>
      <c r="C11" s="28" t="s">
        <v>15</v>
      </c>
      <c r="D11" s="29" t="s">
        <v>250</v>
      </c>
      <c r="E11" s="40" t="s">
        <v>723</v>
      </c>
      <c r="F11" s="22">
        <v>9000</v>
      </c>
      <c r="G11" s="22">
        <v>20000</v>
      </c>
      <c r="H11" s="23">
        <v>9000</v>
      </c>
      <c r="I11" s="22">
        <f t="shared" ref="I11:I25" si="1">G11-H11</f>
        <v>11000</v>
      </c>
      <c r="J11" s="22" t="s">
        <v>16</v>
      </c>
      <c r="K11" s="24"/>
      <c r="L11" s="25"/>
    </row>
    <row r="12" spans="1:12" ht="15.75" x14ac:dyDescent="0.25">
      <c r="A12" s="20" t="s">
        <v>30</v>
      </c>
      <c r="B12" s="21" t="s">
        <v>724</v>
      </c>
      <c r="C12" s="28" t="s">
        <v>725</v>
      </c>
      <c r="D12" s="29" t="s">
        <v>18</v>
      </c>
      <c r="E12" s="40" t="s">
        <v>726</v>
      </c>
      <c r="F12" s="22">
        <v>2030</v>
      </c>
      <c r="G12" s="22">
        <v>2000</v>
      </c>
      <c r="H12" s="23">
        <v>2030</v>
      </c>
      <c r="I12" s="22">
        <f>G12-H12</f>
        <v>-30</v>
      </c>
      <c r="J12" s="22" t="s">
        <v>24</v>
      </c>
      <c r="K12" s="24"/>
      <c r="L12" s="25"/>
    </row>
    <row r="13" spans="1:12" ht="15.75" x14ac:dyDescent="0.25">
      <c r="A13" s="20" t="s">
        <v>14</v>
      </c>
      <c r="B13" s="21" t="s">
        <v>727</v>
      </c>
      <c r="C13" s="28" t="s">
        <v>728</v>
      </c>
      <c r="D13" s="29" t="s">
        <v>77</v>
      </c>
      <c r="E13" s="40" t="s">
        <v>729</v>
      </c>
      <c r="F13" s="22">
        <v>11500</v>
      </c>
      <c r="G13" s="22">
        <v>10000</v>
      </c>
      <c r="H13" s="23">
        <v>11500</v>
      </c>
      <c r="I13" s="22">
        <f t="shared" si="1"/>
        <v>-1500</v>
      </c>
      <c r="J13" s="22" t="s">
        <v>24</v>
      </c>
      <c r="K13" s="24"/>
      <c r="L13" s="25"/>
    </row>
    <row r="14" spans="1:12" ht="15.75" x14ac:dyDescent="0.25">
      <c r="A14" s="20" t="s">
        <v>51</v>
      </c>
      <c r="B14" s="21" t="s">
        <v>710</v>
      </c>
      <c r="C14" s="28" t="s">
        <v>696</v>
      </c>
      <c r="D14" s="29" t="s">
        <v>711</v>
      </c>
      <c r="E14" s="40" t="s">
        <v>38</v>
      </c>
      <c r="F14" s="22">
        <v>62.2</v>
      </c>
      <c r="G14" s="22">
        <v>500</v>
      </c>
      <c r="H14" s="23">
        <f>474.4+62.2</f>
        <v>536.6</v>
      </c>
      <c r="I14" s="22">
        <f>G14-H14</f>
        <v>-36.600000000000023</v>
      </c>
      <c r="J14" s="22" t="s">
        <v>24</v>
      </c>
      <c r="K14" s="24"/>
      <c r="L14" s="25"/>
    </row>
    <row r="15" spans="1:12" ht="15.75" x14ac:dyDescent="0.25">
      <c r="A15" s="20" t="s">
        <v>17</v>
      </c>
      <c r="B15" s="21" t="s">
        <v>730</v>
      </c>
      <c r="C15" s="28" t="s">
        <v>731</v>
      </c>
      <c r="D15" s="29" t="s">
        <v>18</v>
      </c>
      <c r="E15" s="40" t="s">
        <v>315</v>
      </c>
      <c r="F15" s="22">
        <f>3500+3000</f>
        <v>6500</v>
      </c>
      <c r="G15" s="22">
        <v>10000</v>
      </c>
      <c r="H15" s="23">
        <v>6500</v>
      </c>
      <c r="I15" s="22">
        <f>G15-H15</f>
        <v>3500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732</v>
      </c>
      <c r="C16" s="28" t="s">
        <v>15</v>
      </c>
      <c r="D16" s="29" t="s">
        <v>18</v>
      </c>
      <c r="E16" s="40" t="s">
        <v>733</v>
      </c>
      <c r="F16" s="22">
        <v>200</v>
      </c>
      <c r="G16" s="22">
        <v>1000</v>
      </c>
      <c r="H16" s="23">
        <v>200</v>
      </c>
      <c r="I16" s="22">
        <f>G16-H16</f>
        <v>800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734</v>
      </c>
      <c r="C17" s="28" t="s">
        <v>735</v>
      </c>
      <c r="D17" s="29" t="s">
        <v>65</v>
      </c>
      <c r="E17" s="40" t="s">
        <v>736</v>
      </c>
      <c r="F17" s="22">
        <v>20000</v>
      </c>
      <c r="G17" s="22">
        <v>1000000</v>
      </c>
      <c r="H17" s="23">
        <v>20000</v>
      </c>
      <c r="I17" s="22">
        <f t="shared" si="1"/>
        <v>980000</v>
      </c>
      <c r="J17" s="22" t="s">
        <v>16</v>
      </c>
      <c r="K17" s="24"/>
      <c r="L17" s="25"/>
    </row>
    <row r="18" spans="1:12" ht="15.75" x14ac:dyDescent="0.25">
      <c r="A18" s="20" t="s">
        <v>244</v>
      </c>
      <c r="B18" s="21" t="s">
        <v>740</v>
      </c>
      <c r="C18" s="28" t="s">
        <v>296</v>
      </c>
      <c r="D18" s="29" t="s">
        <v>35</v>
      </c>
      <c r="E18" s="40" t="s">
        <v>297</v>
      </c>
      <c r="F18" s="22">
        <v>901.5</v>
      </c>
      <c r="G18" s="22">
        <v>800</v>
      </c>
      <c r="H18" s="23">
        <v>901.5</v>
      </c>
      <c r="I18" s="22">
        <f t="shared" si="1"/>
        <v>-101.5</v>
      </c>
      <c r="J18" s="22" t="s">
        <v>24</v>
      </c>
      <c r="K18" s="24"/>
      <c r="L18" s="25"/>
    </row>
    <row r="19" spans="1:12" ht="15.75" x14ac:dyDescent="0.25">
      <c r="A19" s="20" t="s">
        <v>244</v>
      </c>
      <c r="B19" s="21" t="s">
        <v>739</v>
      </c>
      <c r="C19" s="28" t="s">
        <v>737</v>
      </c>
      <c r="D19" s="29" t="s">
        <v>35</v>
      </c>
      <c r="E19" s="40" t="s">
        <v>300</v>
      </c>
      <c r="F19" s="22">
        <v>73.599999999999994</v>
      </c>
      <c r="G19" s="22">
        <v>50</v>
      </c>
      <c r="H19" s="23">
        <v>73.599999999999994</v>
      </c>
      <c r="I19" s="22">
        <f t="shared" si="1"/>
        <v>-23.599999999999994</v>
      </c>
      <c r="J19" s="22" t="s">
        <v>24</v>
      </c>
      <c r="K19" s="24"/>
      <c r="L19" s="25"/>
    </row>
    <row r="20" spans="1:12" ht="15.75" x14ac:dyDescent="0.25">
      <c r="A20" s="20" t="s">
        <v>244</v>
      </c>
      <c r="B20" s="21" t="s">
        <v>738</v>
      </c>
      <c r="C20" s="28" t="s">
        <v>737</v>
      </c>
      <c r="D20" s="29" t="s">
        <v>35</v>
      </c>
      <c r="E20" s="40" t="s">
        <v>302</v>
      </c>
      <c r="F20" s="22">
        <v>114.7</v>
      </c>
      <c r="G20" s="22">
        <v>100</v>
      </c>
      <c r="H20" s="23">
        <v>114.7</v>
      </c>
      <c r="I20" s="22">
        <f t="shared" si="1"/>
        <v>-14.700000000000003</v>
      </c>
      <c r="J20" s="22" t="s">
        <v>24</v>
      </c>
      <c r="K20" s="24"/>
      <c r="L20" s="25"/>
    </row>
    <row r="21" spans="1:12" ht="15.75" x14ac:dyDescent="0.25">
      <c r="A21" s="20" t="s">
        <v>244</v>
      </c>
      <c r="B21" s="21" t="s">
        <v>741</v>
      </c>
      <c r="C21" s="28" t="s">
        <v>737</v>
      </c>
      <c r="D21" s="29" t="s">
        <v>35</v>
      </c>
      <c r="E21" s="40" t="s">
        <v>305</v>
      </c>
      <c r="F21" s="22">
        <v>59.3</v>
      </c>
      <c r="G21" s="22">
        <v>50</v>
      </c>
      <c r="H21" s="23">
        <v>59.3</v>
      </c>
      <c r="I21" s="22">
        <f t="shared" si="1"/>
        <v>-9.2999999999999972</v>
      </c>
      <c r="J21" s="22" t="s">
        <v>24</v>
      </c>
      <c r="K21" s="24"/>
      <c r="L21" s="25"/>
    </row>
    <row r="22" spans="1:12" ht="15.75" x14ac:dyDescent="0.25">
      <c r="A22" s="20" t="s">
        <v>244</v>
      </c>
      <c r="B22" s="21" t="s">
        <v>742</v>
      </c>
      <c r="C22" s="28" t="s">
        <v>737</v>
      </c>
      <c r="D22" s="29" t="s">
        <v>35</v>
      </c>
      <c r="E22" s="40" t="s">
        <v>743</v>
      </c>
      <c r="F22" s="22">
        <v>99.7</v>
      </c>
      <c r="G22" s="22">
        <v>100</v>
      </c>
      <c r="H22" s="23">
        <v>99.7</v>
      </c>
      <c r="I22" s="22">
        <f t="shared" si="1"/>
        <v>0.29999999999999716</v>
      </c>
      <c r="J22" s="22" t="s">
        <v>23</v>
      </c>
      <c r="K22" s="24"/>
      <c r="L22" s="25"/>
    </row>
    <row r="23" spans="1:12" ht="15.75" x14ac:dyDescent="0.25">
      <c r="A23" s="20" t="s">
        <v>244</v>
      </c>
      <c r="B23" s="21" t="s">
        <v>744</v>
      </c>
      <c r="C23" s="28" t="s">
        <v>737</v>
      </c>
      <c r="D23" s="29" t="s">
        <v>35</v>
      </c>
      <c r="E23" s="40" t="s">
        <v>308</v>
      </c>
      <c r="F23" s="22">
        <v>52.8</v>
      </c>
      <c r="G23" s="22">
        <v>50</v>
      </c>
      <c r="H23" s="23">
        <v>52.8</v>
      </c>
      <c r="I23" s="22">
        <f t="shared" si="1"/>
        <v>-2.7999999999999972</v>
      </c>
      <c r="J23" s="22" t="s">
        <v>23</v>
      </c>
      <c r="K23" s="24"/>
      <c r="L23" s="25"/>
    </row>
    <row r="24" spans="1:12" ht="15.75" x14ac:dyDescent="0.25">
      <c r="A24" s="20" t="s">
        <v>244</v>
      </c>
      <c r="B24" s="21" t="s">
        <v>745</v>
      </c>
      <c r="C24" s="28" t="s">
        <v>737</v>
      </c>
      <c r="D24" s="29" t="s">
        <v>35</v>
      </c>
      <c r="E24" s="40" t="s">
        <v>746</v>
      </c>
      <c r="F24" s="22">
        <v>53</v>
      </c>
      <c r="G24" s="22">
        <v>50</v>
      </c>
      <c r="H24" s="23">
        <v>53</v>
      </c>
      <c r="I24" s="22">
        <f t="shared" si="1"/>
        <v>-3</v>
      </c>
      <c r="J24" s="22" t="s">
        <v>23</v>
      </c>
      <c r="K24" s="24"/>
      <c r="L24" s="25"/>
    </row>
    <row r="25" spans="1:12" ht="15.75" x14ac:dyDescent="0.25">
      <c r="A25" s="20" t="s">
        <v>244</v>
      </c>
      <c r="B25" s="21" t="s">
        <v>747</v>
      </c>
      <c r="C25" s="28" t="s">
        <v>737</v>
      </c>
      <c r="D25" s="29" t="s">
        <v>35</v>
      </c>
      <c r="E25" s="40" t="s">
        <v>748</v>
      </c>
      <c r="F25" s="22">
        <v>49.3</v>
      </c>
      <c r="G25" s="22">
        <v>50</v>
      </c>
      <c r="H25" s="23">
        <v>49.3</v>
      </c>
      <c r="I25" s="22">
        <f t="shared" si="1"/>
        <v>0.70000000000000284</v>
      </c>
      <c r="J25" s="22" t="s">
        <v>23</v>
      </c>
      <c r="K25" s="24"/>
      <c r="L25" s="25"/>
    </row>
    <row r="26" spans="1:12" ht="16.5" thickBot="1" x14ac:dyDescent="0.3">
      <c r="A26" s="30"/>
      <c r="B26" s="31"/>
      <c r="C26" s="32"/>
      <c r="D26" s="33"/>
      <c r="E26" s="41"/>
      <c r="F26" s="34"/>
      <c r="G26" s="34"/>
      <c r="H26" s="35"/>
      <c r="I26" s="34"/>
      <c r="J26" s="34" t="s">
        <v>64</v>
      </c>
      <c r="K26" s="36"/>
      <c r="L26" s="3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L26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749</v>
      </c>
      <c r="C4" s="26" t="s">
        <v>511</v>
      </c>
      <c r="D4" s="27" t="s">
        <v>18</v>
      </c>
      <c r="E4" s="39" t="s">
        <v>750</v>
      </c>
      <c r="F4" s="16">
        <v>24000</v>
      </c>
      <c r="G4" s="16">
        <v>30000</v>
      </c>
      <c r="H4" s="17">
        <v>24000</v>
      </c>
      <c r="I4" s="16">
        <f t="shared" ref="I4:I7" si="0">G4-H4</f>
        <v>6000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751</v>
      </c>
      <c r="C5" s="28" t="s">
        <v>752</v>
      </c>
      <c r="D5" s="29" t="s">
        <v>27</v>
      </c>
      <c r="E5" s="40" t="s">
        <v>405</v>
      </c>
      <c r="F5" s="22">
        <v>12000</v>
      </c>
      <c r="G5" s="22">
        <v>1000000</v>
      </c>
      <c r="H5" s="23">
        <v>12000</v>
      </c>
      <c r="I5" s="22">
        <f t="shared" si="0"/>
        <v>988000</v>
      </c>
      <c r="J5" s="22" t="s">
        <v>16</v>
      </c>
      <c r="K5" s="24"/>
      <c r="L5" s="25"/>
    </row>
    <row r="6" spans="1:12" ht="15.75" x14ac:dyDescent="0.25">
      <c r="A6" s="20" t="s">
        <v>228</v>
      </c>
      <c r="B6" s="21" t="s">
        <v>753</v>
      </c>
      <c r="C6" s="28" t="s">
        <v>287</v>
      </c>
      <c r="D6" s="29" t="s">
        <v>18</v>
      </c>
      <c r="E6" s="40" t="s">
        <v>424</v>
      </c>
      <c r="F6" s="22">
        <f>17300+30000</f>
        <v>47300</v>
      </c>
      <c r="G6" s="22">
        <v>50000</v>
      </c>
      <c r="H6" s="23">
        <f>47300</f>
        <v>47300</v>
      </c>
      <c r="I6" s="22">
        <f t="shared" si="0"/>
        <v>2700</v>
      </c>
      <c r="J6" s="22" t="s">
        <v>16</v>
      </c>
      <c r="K6" s="24"/>
      <c r="L6" s="25"/>
    </row>
    <row r="7" spans="1:12" ht="15.75" x14ac:dyDescent="0.25">
      <c r="A7" s="20" t="s">
        <v>228</v>
      </c>
      <c r="B7" s="21" t="s">
        <v>754</v>
      </c>
      <c r="C7" s="28" t="s">
        <v>15</v>
      </c>
      <c r="D7" s="29" t="s">
        <v>18</v>
      </c>
      <c r="E7" s="40" t="s">
        <v>39</v>
      </c>
      <c r="F7" s="22">
        <v>19720</v>
      </c>
      <c r="G7" s="22">
        <v>40000</v>
      </c>
      <c r="H7" s="23">
        <v>19720</v>
      </c>
      <c r="I7" s="22">
        <f t="shared" si="0"/>
        <v>20280</v>
      </c>
      <c r="J7" s="22" t="s">
        <v>16</v>
      </c>
      <c r="K7" s="24"/>
      <c r="L7" s="25"/>
    </row>
    <row r="8" spans="1:12" ht="15.75" x14ac:dyDescent="0.25">
      <c r="A8" s="20" t="s">
        <v>40</v>
      </c>
      <c r="B8" s="21" t="s">
        <v>454</v>
      </c>
      <c r="C8" s="28" t="s">
        <v>15</v>
      </c>
      <c r="D8" s="29" t="s">
        <v>54</v>
      </c>
      <c r="E8" s="40" t="s">
        <v>69</v>
      </c>
      <c r="F8" s="22">
        <v>50000</v>
      </c>
      <c r="G8" s="22">
        <v>200000</v>
      </c>
      <c r="H8" s="23">
        <f>40000+37000+40000+63000+50000+50000</f>
        <v>280000</v>
      </c>
      <c r="I8" s="22">
        <f>G8-H8</f>
        <v>-80000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755</v>
      </c>
      <c r="C9" s="28" t="s">
        <v>15</v>
      </c>
      <c r="D9" s="29" t="s">
        <v>344</v>
      </c>
      <c r="E9" s="40" t="s">
        <v>220</v>
      </c>
      <c r="F9" s="22">
        <v>7500</v>
      </c>
      <c r="G9" s="22">
        <v>20000</v>
      </c>
      <c r="H9" s="23">
        <v>7500</v>
      </c>
      <c r="I9" s="22">
        <f>G9-H9</f>
        <v>12500</v>
      </c>
      <c r="J9" s="22" t="s">
        <v>16</v>
      </c>
      <c r="K9" s="24"/>
      <c r="L9" s="25"/>
    </row>
    <row r="10" spans="1:12" ht="15.75" x14ac:dyDescent="0.25">
      <c r="A10" s="20" t="s">
        <v>28</v>
      </c>
      <c r="B10" s="21" t="s">
        <v>721</v>
      </c>
      <c r="C10" s="28" t="s">
        <v>15</v>
      </c>
      <c r="D10" s="29" t="s">
        <v>52</v>
      </c>
      <c r="E10" s="40" t="s">
        <v>722</v>
      </c>
      <c r="F10" s="22">
        <v>403.8</v>
      </c>
      <c r="G10" s="22">
        <v>2000</v>
      </c>
      <c r="H10" s="23">
        <f>343.2+403.8</f>
        <v>747</v>
      </c>
      <c r="I10" s="22">
        <f>G10-H10</f>
        <v>1253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>
        <v>426196</v>
      </c>
      <c r="C11" s="28" t="s">
        <v>15</v>
      </c>
      <c r="D11" s="29" t="s">
        <v>250</v>
      </c>
      <c r="E11" s="40" t="s">
        <v>723</v>
      </c>
      <c r="F11" s="22">
        <v>12310</v>
      </c>
      <c r="G11" s="22">
        <v>20000</v>
      </c>
      <c r="H11" s="23">
        <f>9000+12310</f>
        <v>21310</v>
      </c>
      <c r="I11" s="22">
        <f t="shared" ref="I11:I25" si="1">G11-H11</f>
        <v>-1310</v>
      </c>
      <c r="J11" s="22" t="s">
        <v>24</v>
      </c>
      <c r="K11" s="24"/>
      <c r="L11" s="25"/>
    </row>
    <row r="12" spans="1:12" ht="15.75" x14ac:dyDescent="0.25">
      <c r="A12" s="20" t="s">
        <v>21</v>
      </c>
      <c r="B12" s="21" t="s">
        <v>756</v>
      </c>
      <c r="C12" s="28" t="s">
        <v>15</v>
      </c>
      <c r="D12" s="29" t="s">
        <v>344</v>
      </c>
      <c r="E12" s="40" t="s">
        <v>345</v>
      </c>
      <c r="F12" s="22">
        <v>34000</v>
      </c>
      <c r="G12" s="22">
        <v>100000</v>
      </c>
      <c r="H12" s="23">
        <v>66000</v>
      </c>
      <c r="I12" s="22">
        <f>G12-H12</f>
        <v>34000</v>
      </c>
      <c r="J12" s="22" t="s">
        <v>16</v>
      </c>
      <c r="K12" s="24"/>
      <c r="L12" s="25"/>
    </row>
    <row r="13" spans="1:12" ht="15.75" x14ac:dyDescent="0.25">
      <c r="A13" s="20" t="s">
        <v>19</v>
      </c>
      <c r="B13" s="21" t="s">
        <v>762</v>
      </c>
      <c r="C13" s="28" t="s">
        <v>15</v>
      </c>
      <c r="D13" s="29" t="s">
        <v>18</v>
      </c>
      <c r="E13" s="40" t="s">
        <v>763</v>
      </c>
      <c r="F13" s="22">
        <f>4900+105000</f>
        <v>109900</v>
      </c>
      <c r="G13" s="22">
        <v>200000</v>
      </c>
      <c r="H13" s="23">
        <f>20900+105000</f>
        <v>125900</v>
      </c>
      <c r="I13" s="22">
        <f t="shared" si="1"/>
        <v>74100</v>
      </c>
      <c r="J13" s="22" t="s">
        <v>16</v>
      </c>
      <c r="K13" s="24"/>
      <c r="L13" s="25"/>
    </row>
    <row r="14" spans="1:12" ht="15.75" x14ac:dyDescent="0.25">
      <c r="A14" s="20" t="s">
        <v>19</v>
      </c>
      <c r="B14" s="21" t="s">
        <v>757</v>
      </c>
      <c r="C14" s="28" t="s">
        <v>758</v>
      </c>
      <c r="D14" s="29" t="s">
        <v>759</v>
      </c>
      <c r="E14" s="40" t="s">
        <v>760</v>
      </c>
      <c r="F14" s="22">
        <v>2290</v>
      </c>
      <c r="G14" s="22">
        <v>2288</v>
      </c>
      <c r="H14" s="23">
        <v>2290</v>
      </c>
      <c r="I14" s="22">
        <f>G14-H14</f>
        <v>-2</v>
      </c>
      <c r="J14" s="22" t="s">
        <v>24</v>
      </c>
      <c r="K14" s="24"/>
      <c r="L14" s="25"/>
    </row>
    <row r="15" spans="1:12" ht="15.75" x14ac:dyDescent="0.25">
      <c r="A15" s="20" t="s">
        <v>17</v>
      </c>
      <c r="B15" s="21" t="s">
        <v>730</v>
      </c>
      <c r="C15" s="28" t="s">
        <v>731</v>
      </c>
      <c r="D15" s="29" t="s">
        <v>18</v>
      </c>
      <c r="E15" s="40" t="s">
        <v>315</v>
      </c>
      <c r="F15" s="22">
        <v>2640</v>
      </c>
      <c r="G15" s="22">
        <v>10000</v>
      </c>
      <c r="H15" s="23">
        <f>6500+2640</f>
        <v>9140</v>
      </c>
      <c r="I15" s="22">
        <f>G15-H15</f>
        <v>860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756</v>
      </c>
      <c r="C16" s="28" t="s">
        <v>15</v>
      </c>
      <c r="D16" s="29" t="s">
        <v>761</v>
      </c>
      <c r="E16" s="40" t="s">
        <v>345</v>
      </c>
      <c r="F16" s="22">
        <v>32000</v>
      </c>
      <c r="G16" s="22">
        <v>100000</v>
      </c>
      <c r="H16" s="23">
        <v>32000</v>
      </c>
      <c r="I16" s="22">
        <f>G16-H16</f>
        <v>68000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734</v>
      </c>
      <c r="C17" s="28" t="s">
        <v>735</v>
      </c>
      <c r="D17" s="29" t="s">
        <v>65</v>
      </c>
      <c r="E17" s="40" t="s">
        <v>736</v>
      </c>
      <c r="F17" s="22">
        <f>80000+60000</f>
        <v>140000</v>
      </c>
      <c r="G17" s="22">
        <v>1000000</v>
      </c>
      <c r="H17" s="23">
        <f>20000+140000</f>
        <v>160000</v>
      </c>
      <c r="I17" s="22">
        <f t="shared" si="1"/>
        <v>840000</v>
      </c>
      <c r="J17" s="22" t="s">
        <v>16</v>
      </c>
      <c r="K17" s="24"/>
      <c r="L17" s="25"/>
    </row>
    <row r="18" spans="1:12" ht="15.75" x14ac:dyDescent="0.25">
      <c r="A18" s="20" t="s">
        <v>14</v>
      </c>
      <c r="B18" s="21" t="s">
        <v>764</v>
      </c>
      <c r="C18" s="28" t="s">
        <v>765</v>
      </c>
      <c r="D18" s="29" t="s">
        <v>18</v>
      </c>
      <c r="E18" s="40" t="s">
        <v>766</v>
      </c>
      <c r="F18" s="22">
        <v>4230</v>
      </c>
      <c r="G18" s="22">
        <v>5000</v>
      </c>
      <c r="H18" s="23">
        <v>4230</v>
      </c>
      <c r="I18" s="22">
        <f t="shared" si="1"/>
        <v>770</v>
      </c>
      <c r="J18" s="22" t="s">
        <v>16</v>
      </c>
      <c r="K18" s="24"/>
      <c r="L18" s="25"/>
    </row>
    <row r="19" spans="1:12" ht="15.75" x14ac:dyDescent="0.25">
      <c r="A19" s="20" t="s">
        <v>14</v>
      </c>
      <c r="B19" s="21" t="s">
        <v>767</v>
      </c>
      <c r="C19" s="28" t="s">
        <v>15</v>
      </c>
      <c r="D19" s="29" t="s">
        <v>18</v>
      </c>
      <c r="E19" s="40" t="s">
        <v>768</v>
      </c>
      <c r="F19" s="22">
        <v>4600</v>
      </c>
      <c r="G19" s="22">
        <v>4000</v>
      </c>
      <c r="H19" s="23">
        <v>4600</v>
      </c>
      <c r="I19" s="22">
        <f t="shared" si="1"/>
        <v>-600</v>
      </c>
      <c r="J19" s="22" t="s">
        <v>24</v>
      </c>
      <c r="K19" s="24"/>
      <c r="L19" s="25"/>
    </row>
    <row r="20" spans="1:12" ht="15.75" x14ac:dyDescent="0.25">
      <c r="A20" s="20" t="s">
        <v>19</v>
      </c>
      <c r="B20" s="21" t="s">
        <v>769</v>
      </c>
      <c r="C20" s="28" t="s">
        <v>15</v>
      </c>
      <c r="D20" s="29" t="s">
        <v>18</v>
      </c>
      <c r="E20" s="40" t="s">
        <v>202</v>
      </c>
      <c r="F20" s="22">
        <v>4000</v>
      </c>
      <c r="G20" s="22">
        <v>20000</v>
      </c>
      <c r="H20" s="23">
        <v>4000</v>
      </c>
      <c r="I20" s="22">
        <f t="shared" si="1"/>
        <v>16000</v>
      </c>
      <c r="J20" s="22" t="s">
        <v>16</v>
      </c>
      <c r="K20" s="24"/>
      <c r="L20" s="25"/>
    </row>
    <row r="21" spans="1:12" ht="15.75" x14ac:dyDescent="0.25">
      <c r="A21" s="20" t="s">
        <v>21</v>
      </c>
      <c r="B21" s="21" t="s">
        <v>770</v>
      </c>
      <c r="C21" s="28" t="s">
        <v>15</v>
      </c>
      <c r="D21" s="29" t="s">
        <v>73</v>
      </c>
      <c r="E21" s="40" t="s">
        <v>771</v>
      </c>
      <c r="F21" s="22">
        <v>5100</v>
      </c>
      <c r="G21" s="22">
        <v>5000</v>
      </c>
      <c r="H21" s="23">
        <v>5100</v>
      </c>
      <c r="I21" s="22">
        <f t="shared" si="1"/>
        <v>-100</v>
      </c>
      <c r="J21" s="22" t="s">
        <v>24</v>
      </c>
      <c r="K21" s="24"/>
      <c r="L21" s="25"/>
    </row>
    <row r="22" spans="1:12" ht="15.75" x14ac:dyDescent="0.25">
      <c r="A22" s="20" t="s">
        <v>21</v>
      </c>
      <c r="B22" s="21" t="s">
        <v>772</v>
      </c>
      <c r="C22" s="28" t="s">
        <v>15</v>
      </c>
      <c r="D22" s="29" t="s">
        <v>73</v>
      </c>
      <c r="E22" s="40" t="s">
        <v>773</v>
      </c>
      <c r="F22" s="22">
        <v>5280</v>
      </c>
      <c r="G22" s="22">
        <v>5000</v>
      </c>
      <c r="H22" s="23">
        <v>5280</v>
      </c>
      <c r="I22" s="22">
        <f t="shared" si="1"/>
        <v>-280</v>
      </c>
      <c r="J22" s="22" t="s">
        <v>24</v>
      </c>
      <c r="K22" s="24"/>
      <c r="L22" s="25"/>
    </row>
    <row r="23" spans="1:12" ht="15.75" x14ac:dyDescent="0.25">
      <c r="A23" s="20" t="s">
        <v>17</v>
      </c>
      <c r="B23" s="21" t="s">
        <v>774</v>
      </c>
      <c r="C23" s="28" t="s">
        <v>775</v>
      </c>
      <c r="D23" s="29" t="s">
        <v>18</v>
      </c>
      <c r="E23" s="40" t="s">
        <v>776</v>
      </c>
      <c r="F23" s="22">
        <v>786</v>
      </c>
      <c r="G23" s="22">
        <v>1000</v>
      </c>
      <c r="H23" s="23">
        <v>786</v>
      </c>
      <c r="I23" s="22">
        <f t="shared" si="1"/>
        <v>214</v>
      </c>
      <c r="J23" s="22" t="s">
        <v>16</v>
      </c>
      <c r="K23" s="24"/>
      <c r="L23" s="25"/>
    </row>
    <row r="24" spans="1:12" ht="15.75" x14ac:dyDescent="0.25">
      <c r="A24" s="20" t="s">
        <v>14</v>
      </c>
      <c r="B24" s="21" t="s">
        <v>762</v>
      </c>
      <c r="C24" s="28" t="s">
        <v>15</v>
      </c>
      <c r="D24" s="29" t="s">
        <v>18</v>
      </c>
      <c r="E24" s="40" t="s">
        <v>763</v>
      </c>
      <c r="F24" s="22">
        <v>53</v>
      </c>
      <c r="G24" s="22">
        <v>50</v>
      </c>
      <c r="H24" s="23">
        <v>53</v>
      </c>
      <c r="I24" s="22">
        <f t="shared" si="1"/>
        <v>-3</v>
      </c>
      <c r="J24" s="22" t="s">
        <v>23</v>
      </c>
      <c r="K24" s="24"/>
      <c r="L24" s="25"/>
    </row>
    <row r="25" spans="1:12" ht="15.75" x14ac:dyDescent="0.25">
      <c r="A25" s="20" t="s">
        <v>17</v>
      </c>
      <c r="B25" s="21" t="s">
        <v>777</v>
      </c>
      <c r="C25" s="28" t="s">
        <v>457</v>
      </c>
      <c r="D25" s="29" t="s">
        <v>778</v>
      </c>
      <c r="E25" s="40" t="s">
        <v>458</v>
      </c>
      <c r="F25" s="22">
        <f>5500+3649-2500</f>
        <v>6649</v>
      </c>
      <c r="G25" s="22">
        <v>10000</v>
      </c>
      <c r="H25" s="23">
        <v>6649</v>
      </c>
      <c r="I25" s="22">
        <f t="shared" si="1"/>
        <v>3351</v>
      </c>
      <c r="J25" s="22" t="s">
        <v>16</v>
      </c>
      <c r="K25" s="24"/>
      <c r="L25" s="25"/>
    </row>
    <row r="26" spans="1:12" ht="16.5" thickBot="1" x14ac:dyDescent="0.3">
      <c r="A26" s="30"/>
      <c r="B26" s="31"/>
      <c r="C26" s="32"/>
      <c r="D26" s="33"/>
      <c r="E26" s="41"/>
      <c r="F26" s="34"/>
      <c r="G26" s="34"/>
      <c r="H26" s="35"/>
      <c r="I26" s="34"/>
      <c r="J26" s="34" t="s">
        <v>64</v>
      </c>
      <c r="K26" s="36"/>
      <c r="L26" s="3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L19"/>
  <sheetViews>
    <sheetView workbookViewId="0">
      <pane xSplit="3" topLeftCell="D1" activePane="topRight" state="frozen"/>
      <selection pane="topRight" activeCell="A13" sqref="A13:XFD13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785</v>
      </c>
      <c r="C4" s="26" t="s">
        <v>29</v>
      </c>
      <c r="D4" s="27" t="s">
        <v>18</v>
      </c>
      <c r="E4" s="39" t="s">
        <v>517</v>
      </c>
      <c r="F4" s="16">
        <v>5000</v>
      </c>
      <c r="G4" s="16">
        <v>40000</v>
      </c>
      <c r="H4" s="17">
        <v>5000</v>
      </c>
      <c r="I4" s="16">
        <f t="shared" ref="I4:I7" si="0">G4-H4</f>
        <v>35000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751</v>
      </c>
      <c r="C5" s="28" t="s">
        <v>752</v>
      </c>
      <c r="D5" s="29" t="s">
        <v>27</v>
      </c>
      <c r="E5" s="40" t="s">
        <v>405</v>
      </c>
      <c r="F5" s="22">
        <v>48000</v>
      </c>
      <c r="G5" s="22">
        <v>1000000</v>
      </c>
      <c r="H5" s="23">
        <f>12000+48000</f>
        <v>60000</v>
      </c>
      <c r="I5" s="22">
        <f t="shared" si="0"/>
        <v>940000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781</v>
      </c>
      <c r="C6" s="28" t="s">
        <v>782</v>
      </c>
      <c r="D6" s="29" t="s">
        <v>783</v>
      </c>
      <c r="E6" s="40" t="s">
        <v>90</v>
      </c>
      <c r="F6" s="22">
        <v>543.6</v>
      </c>
      <c r="G6" s="22">
        <v>500</v>
      </c>
      <c r="H6" s="23">
        <v>543.6</v>
      </c>
      <c r="I6" s="22">
        <f t="shared" si="0"/>
        <v>-43.600000000000023</v>
      </c>
      <c r="J6" s="22" t="s">
        <v>24</v>
      </c>
      <c r="K6" s="24"/>
      <c r="L6" s="25"/>
    </row>
    <row r="7" spans="1:12" ht="15.75" x14ac:dyDescent="0.25">
      <c r="A7" s="20" t="s">
        <v>22</v>
      </c>
      <c r="B7" s="21" t="s">
        <v>559</v>
      </c>
      <c r="C7" s="28" t="s">
        <v>696</v>
      </c>
      <c r="D7" s="29" t="s">
        <v>784</v>
      </c>
      <c r="E7" s="40" t="s">
        <v>38</v>
      </c>
      <c r="F7" s="22">
        <v>435.7</v>
      </c>
      <c r="G7" s="22">
        <v>3000</v>
      </c>
      <c r="H7" s="23">
        <v>435.7</v>
      </c>
      <c r="I7" s="22">
        <f t="shared" si="0"/>
        <v>2564.3000000000002</v>
      </c>
      <c r="J7" s="22" t="s">
        <v>16</v>
      </c>
      <c r="K7" s="24"/>
      <c r="L7" s="25"/>
    </row>
    <row r="8" spans="1:12" ht="15.75" x14ac:dyDescent="0.25">
      <c r="A8" s="20" t="s">
        <v>40</v>
      </c>
      <c r="B8" s="21" t="s">
        <v>454</v>
      </c>
      <c r="C8" s="28" t="s">
        <v>15</v>
      </c>
      <c r="D8" s="29" t="s">
        <v>54</v>
      </c>
      <c r="E8" s="40" t="s">
        <v>69</v>
      </c>
      <c r="F8" s="22">
        <v>40000</v>
      </c>
      <c r="G8" s="22">
        <v>200000</v>
      </c>
      <c r="H8" s="23">
        <f>40000+37000+40000+63000+50000+50000+40000</f>
        <v>320000</v>
      </c>
      <c r="I8" s="22">
        <f>G8-H8</f>
        <v>-120000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755</v>
      </c>
      <c r="C9" s="28" t="s">
        <v>15</v>
      </c>
      <c r="D9" s="29" t="s">
        <v>344</v>
      </c>
      <c r="E9" s="40" t="s">
        <v>220</v>
      </c>
      <c r="F9" s="22">
        <f>5510+1250</f>
        <v>6760</v>
      </c>
      <c r="G9" s="22">
        <v>20000</v>
      </c>
      <c r="H9" s="23">
        <f>7500+6760</f>
        <v>14260</v>
      </c>
      <c r="I9" s="22">
        <f>G9-H9</f>
        <v>5740</v>
      </c>
      <c r="J9" s="22" t="s">
        <v>16</v>
      </c>
      <c r="K9" s="24"/>
      <c r="L9" s="25"/>
    </row>
    <row r="10" spans="1:12" ht="15.75" x14ac:dyDescent="0.25">
      <c r="A10" s="20" t="s">
        <v>28</v>
      </c>
      <c r="B10" s="21" t="s">
        <v>721</v>
      </c>
      <c r="C10" s="28" t="s">
        <v>15</v>
      </c>
      <c r="D10" s="29" t="s">
        <v>52</v>
      </c>
      <c r="E10" s="40" t="s">
        <v>722</v>
      </c>
      <c r="F10" s="22">
        <v>237</v>
      </c>
      <c r="G10" s="22">
        <v>2000</v>
      </c>
      <c r="H10" s="23">
        <f>343.2+403.8+237</f>
        <v>984</v>
      </c>
      <c r="I10" s="22">
        <f>G10-H10</f>
        <v>1016</v>
      </c>
      <c r="J10" s="22" t="s">
        <v>16</v>
      </c>
      <c r="K10" s="24"/>
      <c r="L10" s="25"/>
    </row>
    <row r="11" spans="1:12" ht="15.75" x14ac:dyDescent="0.25">
      <c r="A11" s="20" t="s">
        <v>28</v>
      </c>
      <c r="B11" s="21" t="s">
        <v>786</v>
      </c>
      <c r="C11" s="28" t="s">
        <v>15</v>
      </c>
      <c r="D11" s="29" t="s">
        <v>52</v>
      </c>
      <c r="E11" s="40" t="s">
        <v>181</v>
      </c>
      <c r="F11" s="22">
        <v>4000</v>
      </c>
      <c r="G11" s="22">
        <v>28900</v>
      </c>
      <c r="H11" s="23">
        <v>4000</v>
      </c>
      <c r="I11" s="22">
        <f t="shared" ref="I11:I18" si="1">G11-H11</f>
        <v>24900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756</v>
      </c>
      <c r="C12" s="28" t="s">
        <v>15</v>
      </c>
      <c r="D12" s="29" t="s">
        <v>344</v>
      </c>
      <c r="E12" s="40" t="s">
        <v>345</v>
      </c>
      <c r="F12" s="22">
        <v>15800</v>
      </c>
      <c r="G12" s="22">
        <v>100000</v>
      </c>
      <c r="H12" s="23">
        <f>66000+15800</f>
        <v>81800</v>
      </c>
      <c r="I12" s="22">
        <f>G12-H12</f>
        <v>18200</v>
      </c>
      <c r="J12" s="22" t="s">
        <v>16</v>
      </c>
      <c r="K12" s="24"/>
      <c r="L12" s="25"/>
    </row>
    <row r="13" spans="1:12" ht="15.75" x14ac:dyDescent="0.25">
      <c r="A13" s="20" t="s">
        <v>14</v>
      </c>
      <c r="B13" s="21" t="s">
        <v>389</v>
      </c>
      <c r="C13" s="28" t="s">
        <v>242</v>
      </c>
      <c r="D13" s="29" t="s">
        <v>77</v>
      </c>
      <c r="E13" s="40" t="s">
        <v>96</v>
      </c>
      <c r="F13" s="22">
        <v>500</v>
      </c>
      <c r="G13" s="22">
        <v>200000</v>
      </c>
      <c r="H13" s="23">
        <f>81000+4000+4000+4000+4000+17000+4000+4000+15000+23000+15000+7000+4500+4000+500</f>
        <v>191000</v>
      </c>
      <c r="I13" s="22">
        <f t="shared" ref="I13" si="2">G13-H13</f>
        <v>9000</v>
      </c>
      <c r="J13" s="22" t="s">
        <v>16</v>
      </c>
      <c r="K13" s="24"/>
      <c r="L13" s="25"/>
    </row>
    <row r="14" spans="1:12" ht="15.75" x14ac:dyDescent="0.25">
      <c r="A14" s="20" t="s">
        <v>82</v>
      </c>
      <c r="B14" s="21" t="s">
        <v>605</v>
      </c>
      <c r="C14" s="28" t="s">
        <v>15</v>
      </c>
      <c r="D14" s="29" t="s">
        <v>374</v>
      </c>
      <c r="E14" s="40" t="s">
        <v>789</v>
      </c>
      <c r="F14" s="22">
        <v>555</v>
      </c>
      <c r="G14" s="22">
        <v>2000</v>
      </c>
      <c r="H14" s="23">
        <v>2000</v>
      </c>
      <c r="I14" s="22">
        <f>G14-H14</f>
        <v>0</v>
      </c>
      <c r="J14" s="22" t="s">
        <v>23</v>
      </c>
      <c r="K14" s="24"/>
      <c r="L14" s="25"/>
    </row>
    <row r="15" spans="1:12" ht="15.75" x14ac:dyDescent="0.25">
      <c r="A15" s="20" t="s">
        <v>228</v>
      </c>
      <c r="B15" s="21" t="s">
        <v>734</v>
      </c>
      <c r="C15" s="28" t="s">
        <v>735</v>
      </c>
      <c r="D15" s="29" t="s">
        <v>65</v>
      </c>
      <c r="E15" s="40" t="s">
        <v>736</v>
      </c>
      <c r="F15" s="22">
        <v>50000</v>
      </c>
      <c r="G15" s="22">
        <v>1000000</v>
      </c>
      <c r="H15" s="23">
        <f>20000+140000+50000</f>
        <v>210000</v>
      </c>
      <c r="I15" s="22">
        <f t="shared" si="1"/>
        <v>790000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779</v>
      </c>
      <c r="C16" s="28" t="s">
        <v>765</v>
      </c>
      <c r="D16" s="29" t="s">
        <v>42</v>
      </c>
      <c r="E16" s="40" t="s">
        <v>780</v>
      </c>
      <c r="F16" s="22">
        <v>5000</v>
      </c>
      <c r="G16" s="22">
        <v>5000</v>
      </c>
      <c r="H16" s="23">
        <v>5000</v>
      </c>
      <c r="I16" s="22">
        <f t="shared" si="1"/>
        <v>0</v>
      </c>
      <c r="J16" s="22" t="s">
        <v>23</v>
      </c>
      <c r="K16" s="24"/>
      <c r="L16" s="25"/>
    </row>
    <row r="17" spans="1:12" ht="15.75" x14ac:dyDescent="0.25">
      <c r="A17" s="20" t="s">
        <v>14</v>
      </c>
      <c r="B17" s="21" t="s">
        <v>787</v>
      </c>
      <c r="C17" s="28" t="s">
        <v>644</v>
      </c>
      <c r="D17" s="29" t="s">
        <v>788</v>
      </c>
      <c r="E17" s="40" t="s">
        <v>450</v>
      </c>
      <c r="F17" s="22">
        <v>10000</v>
      </c>
      <c r="G17" s="22">
        <v>10000</v>
      </c>
      <c r="H17" s="23">
        <v>10000</v>
      </c>
      <c r="I17" s="22">
        <f t="shared" si="1"/>
        <v>0</v>
      </c>
      <c r="J17" s="22" t="s">
        <v>23</v>
      </c>
      <c r="K17" s="24"/>
      <c r="L17" s="25"/>
    </row>
    <row r="18" spans="1:12" ht="15.75" x14ac:dyDescent="0.25">
      <c r="A18" s="20" t="s">
        <v>19</v>
      </c>
      <c r="B18" s="21" t="s">
        <v>769</v>
      </c>
      <c r="C18" s="28" t="s">
        <v>15</v>
      </c>
      <c r="D18" s="29" t="s">
        <v>18</v>
      </c>
      <c r="E18" s="40" t="s">
        <v>202</v>
      </c>
      <c r="F18" s="22">
        <f>4000+6850</f>
        <v>10850</v>
      </c>
      <c r="G18" s="22">
        <v>20000</v>
      </c>
      <c r="H18" s="23">
        <f>4000+10850</f>
        <v>14850</v>
      </c>
      <c r="I18" s="22">
        <f t="shared" si="1"/>
        <v>5150</v>
      </c>
      <c r="J18" s="22" t="s">
        <v>16</v>
      </c>
      <c r="K18" s="24"/>
      <c r="L18" s="25"/>
    </row>
    <row r="19" spans="1:12" ht="16.5" thickBot="1" x14ac:dyDescent="0.3">
      <c r="A19" s="30"/>
      <c r="B19" s="31"/>
      <c r="C19" s="32"/>
      <c r="D19" s="33"/>
      <c r="E19" s="41"/>
      <c r="F19" s="34"/>
      <c r="G19" s="34"/>
      <c r="H19" s="35"/>
      <c r="I19" s="34"/>
      <c r="J19" s="34" t="s">
        <v>64</v>
      </c>
      <c r="K19" s="36"/>
      <c r="L19" s="3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L72"/>
  <sheetViews>
    <sheetView workbookViewId="0">
      <pane xSplit="3" topLeftCell="E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785</v>
      </c>
      <c r="C4" s="26" t="s">
        <v>29</v>
      </c>
      <c r="D4" s="27" t="s">
        <v>18</v>
      </c>
      <c r="E4" s="39" t="s">
        <v>517</v>
      </c>
      <c r="F4" s="16">
        <f>17000+3000</f>
        <v>20000</v>
      </c>
      <c r="G4" s="16">
        <v>40000</v>
      </c>
      <c r="H4" s="17">
        <f>5000+20000</f>
        <v>25000</v>
      </c>
      <c r="I4" s="16">
        <f t="shared" ref="I4" si="0">G4-H4</f>
        <v>15000</v>
      </c>
      <c r="J4" s="16" t="s">
        <v>16</v>
      </c>
      <c r="K4" s="18"/>
      <c r="L4" s="19"/>
    </row>
    <row r="5" spans="1:12" ht="15.75" x14ac:dyDescent="0.25">
      <c r="A5" s="20" t="s">
        <v>40</v>
      </c>
      <c r="B5" s="21" t="s">
        <v>454</v>
      </c>
      <c r="C5" s="28" t="s">
        <v>15</v>
      </c>
      <c r="D5" s="29" t="s">
        <v>54</v>
      </c>
      <c r="E5" s="40" t="s">
        <v>69</v>
      </c>
      <c r="F5" s="22">
        <v>10000</v>
      </c>
      <c r="G5" s="22">
        <v>2000000</v>
      </c>
      <c r="H5" s="23">
        <f>40000+37000+40000+63000+50000+50000+40000+10000</f>
        <v>330000</v>
      </c>
      <c r="I5" s="22">
        <f>G5-H5</f>
        <v>1670000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755</v>
      </c>
      <c r="C6" s="28" t="s">
        <v>15</v>
      </c>
      <c r="D6" s="29" t="s">
        <v>344</v>
      </c>
      <c r="E6" s="40" t="s">
        <v>220</v>
      </c>
      <c r="F6" s="22">
        <v>3000</v>
      </c>
      <c r="G6" s="22">
        <v>20000</v>
      </c>
      <c r="H6" s="23">
        <f>7500+6760+3000</f>
        <v>17260</v>
      </c>
      <c r="I6" s="22">
        <f>G6-H6</f>
        <v>2740</v>
      </c>
      <c r="J6" s="22" t="s">
        <v>16</v>
      </c>
      <c r="K6" s="24"/>
      <c r="L6" s="25"/>
    </row>
    <row r="7" spans="1:12" ht="15.75" x14ac:dyDescent="0.25">
      <c r="A7" s="20" t="s">
        <v>231</v>
      </c>
      <c r="B7" s="21" t="s">
        <v>799</v>
      </c>
      <c r="C7" s="28" t="s">
        <v>800</v>
      </c>
      <c r="D7" s="29" t="s">
        <v>509</v>
      </c>
      <c r="E7" s="40" t="s">
        <v>510</v>
      </c>
      <c r="F7" s="22">
        <v>421.4</v>
      </c>
      <c r="G7" s="22">
        <v>3900</v>
      </c>
      <c r="H7" s="23">
        <v>421.4</v>
      </c>
      <c r="I7" s="22">
        <f>G7-H7</f>
        <v>3478.6</v>
      </c>
      <c r="J7" s="22" t="s">
        <v>16</v>
      </c>
      <c r="K7" s="24"/>
      <c r="L7" s="25"/>
    </row>
    <row r="8" spans="1:12" ht="15.75" x14ac:dyDescent="0.25">
      <c r="A8" s="20" t="s">
        <v>28</v>
      </c>
      <c r="B8" s="21" t="s">
        <v>786</v>
      </c>
      <c r="C8" s="28" t="s">
        <v>15</v>
      </c>
      <c r="D8" s="29" t="s">
        <v>52</v>
      </c>
      <c r="E8" s="40" t="s">
        <v>181</v>
      </c>
      <c r="F8" s="22">
        <v>23810</v>
      </c>
      <c r="G8" s="22">
        <v>28900</v>
      </c>
      <c r="H8" s="23">
        <f>4000+23810</f>
        <v>27810</v>
      </c>
      <c r="I8" s="22">
        <f t="shared" ref="I8:I15" si="1">G8-H8</f>
        <v>1090</v>
      </c>
      <c r="J8" s="22" t="s">
        <v>16</v>
      </c>
      <c r="K8" s="24"/>
      <c r="L8" s="25"/>
    </row>
    <row r="9" spans="1:12" ht="15.75" x14ac:dyDescent="0.25">
      <c r="A9" s="20" t="s">
        <v>231</v>
      </c>
      <c r="B9" s="21" t="s">
        <v>797</v>
      </c>
      <c r="C9" s="28" t="s">
        <v>798</v>
      </c>
      <c r="D9" s="29" t="s">
        <v>240</v>
      </c>
      <c r="E9" s="40" t="s">
        <v>566</v>
      </c>
      <c r="F9" s="22">
        <v>206.4</v>
      </c>
      <c r="G9" s="22">
        <v>200</v>
      </c>
      <c r="H9" s="23">
        <v>206.4</v>
      </c>
      <c r="I9" s="22">
        <f>G9-H9</f>
        <v>-6.4000000000000057</v>
      </c>
      <c r="J9" s="22" t="s">
        <v>24</v>
      </c>
      <c r="K9" s="24"/>
      <c r="L9" s="25"/>
    </row>
    <row r="10" spans="1:12" ht="15.75" x14ac:dyDescent="0.25">
      <c r="A10" s="20" t="s">
        <v>14</v>
      </c>
      <c r="B10" s="21" t="s">
        <v>794</v>
      </c>
      <c r="C10" s="28" t="s">
        <v>795</v>
      </c>
      <c r="D10" s="29" t="s">
        <v>18</v>
      </c>
      <c r="E10" s="40" t="s">
        <v>796</v>
      </c>
      <c r="F10" s="22">
        <v>1957</v>
      </c>
      <c r="G10" s="22">
        <v>3000</v>
      </c>
      <c r="H10" s="23">
        <v>1957</v>
      </c>
      <c r="I10" s="22">
        <f t="shared" ref="I10" si="2">G10-H10</f>
        <v>1043</v>
      </c>
      <c r="J10" s="22" t="s">
        <v>16</v>
      </c>
      <c r="K10" s="24"/>
      <c r="L10" s="25"/>
    </row>
    <row r="11" spans="1:12" ht="15.75" x14ac:dyDescent="0.25">
      <c r="A11" s="20" t="s">
        <v>82</v>
      </c>
      <c r="B11" s="21" t="s">
        <v>790</v>
      </c>
      <c r="C11" s="28" t="s">
        <v>15</v>
      </c>
      <c r="D11" s="29" t="s">
        <v>374</v>
      </c>
      <c r="E11" s="40" t="s">
        <v>789</v>
      </c>
      <c r="F11" s="22">
        <v>390</v>
      </c>
      <c r="G11" s="22">
        <v>2000</v>
      </c>
      <c r="H11" s="23">
        <v>390</v>
      </c>
      <c r="I11" s="22">
        <f>G11-H11</f>
        <v>1610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734</v>
      </c>
      <c r="C12" s="28" t="s">
        <v>735</v>
      </c>
      <c r="D12" s="29" t="s">
        <v>65</v>
      </c>
      <c r="E12" s="40" t="s">
        <v>736</v>
      </c>
      <c r="F12" s="22">
        <f>70000+90000+40000</f>
        <v>200000</v>
      </c>
      <c r="G12" s="22">
        <v>1000000</v>
      </c>
      <c r="H12" s="23">
        <v>460000</v>
      </c>
      <c r="I12" s="22">
        <f t="shared" si="1"/>
        <v>540000</v>
      </c>
      <c r="J12" s="22" t="s">
        <v>16</v>
      </c>
      <c r="K12" s="24"/>
      <c r="L12" s="25"/>
    </row>
    <row r="13" spans="1:12" ht="15.75" x14ac:dyDescent="0.25">
      <c r="A13" s="20" t="s">
        <v>30</v>
      </c>
      <c r="B13" s="21" t="s">
        <v>671</v>
      </c>
      <c r="C13" s="28" t="s">
        <v>672</v>
      </c>
      <c r="D13" s="29" t="s">
        <v>793</v>
      </c>
      <c r="E13" s="40" t="s">
        <v>674</v>
      </c>
      <c r="F13" s="22">
        <v>1000</v>
      </c>
      <c r="G13" s="22">
        <v>40000</v>
      </c>
      <c r="H13" s="23">
        <v>6000</v>
      </c>
      <c r="I13" s="22">
        <f t="shared" si="1"/>
        <v>34000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791</v>
      </c>
      <c r="C14" s="28" t="s">
        <v>41</v>
      </c>
      <c r="D14" s="29" t="s">
        <v>792</v>
      </c>
      <c r="E14" s="40" t="s">
        <v>122</v>
      </c>
      <c r="F14" s="22">
        <v>10000</v>
      </c>
      <c r="G14" s="22">
        <v>33720</v>
      </c>
      <c r="H14" s="23">
        <v>10000</v>
      </c>
      <c r="I14" s="22">
        <f t="shared" si="1"/>
        <v>23720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756</v>
      </c>
      <c r="C15" s="28" t="s">
        <v>15</v>
      </c>
      <c r="D15" s="29" t="s">
        <v>344</v>
      </c>
      <c r="E15" s="40" t="s">
        <v>345</v>
      </c>
      <c r="F15" s="22">
        <v>10600</v>
      </c>
      <c r="G15" s="22">
        <v>10000</v>
      </c>
      <c r="H15" s="23">
        <v>10600</v>
      </c>
      <c r="I15" s="22">
        <f t="shared" si="1"/>
        <v>-600</v>
      </c>
      <c r="J15" s="22" t="s">
        <v>24</v>
      </c>
      <c r="K15" s="24"/>
      <c r="L15" s="25"/>
    </row>
    <row r="16" spans="1:12" ht="16.5" thickBot="1" x14ac:dyDescent="0.3">
      <c r="A16" s="30"/>
      <c r="B16" s="31"/>
      <c r="C16" s="32"/>
      <c r="D16" s="33"/>
      <c r="E16" s="41"/>
      <c r="F16" s="34"/>
      <c r="G16" s="34"/>
      <c r="H16" s="35"/>
      <c r="I16" s="34"/>
      <c r="J16" s="34" t="s">
        <v>64</v>
      </c>
      <c r="K16" s="36"/>
      <c r="L16" s="37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L56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806</v>
      </c>
      <c r="C4" s="26" t="s">
        <v>15</v>
      </c>
      <c r="D4" s="27" t="s">
        <v>18</v>
      </c>
      <c r="E4" s="39" t="s">
        <v>807</v>
      </c>
      <c r="F4" s="16">
        <v>12600</v>
      </c>
      <c r="G4" s="16">
        <v>20000</v>
      </c>
      <c r="H4" s="17">
        <v>12600</v>
      </c>
      <c r="I4" s="16">
        <f t="shared" ref="I4" si="0">G4-H4</f>
        <v>7400</v>
      </c>
      <c r="J4" s="16" t="s">
        <v>16</v>
      </c>
      <c r="K4" s="18"/>
      <c r="L4" s="19"/>
    </row>
    <row r="5" spans="1:12" ht="15.75" x14ac:dyDescent="0.25">
      <c r="A5" s="20" t="s">
        <v>30</v>
      </c>
      <c r="B5" s="21" t="s">
        <v>804</v>
      </c>
      <c r="C5" s="28" t="s">
        <v>805</v>
      </c>
      <c r="D5" s="29" t="s">
        <v>37</v>
      </c>
      <c r="E5" s="40" t="s">
        <v>313</v>
      </c>
      <c r="F5" s="22">
        <v>22000</v>
      </c>
      <c r="G5" s="22">
        <v>40000</v>
      </c>
      <c r="H5" s="23">
        <v>22000</v>
      </c>
      <c r="I5" s="22">
        <f>G5-H5</f>
        <v>18000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755</v>
      </c>
      <c r="C6" s="28" t="s">
        <v>15</v>
      </c>
      <c r="D6" s="29" t="s">
        <v>344</v>
      </c>
      <c r="E6" s="40" t="s">
        <v>220</v>
      </c>
      <c r="F6" s="22">
        <v>150</v>
      </c>
      <c r="G6" s="22">
        <v>20000</v>
      </c>
      <c r="H6" s="23">
        <f>7500+6760+3000+150</f>
        <v>17410</v>
      </c>
      <c r="I6" s="22">
        <f>G6-H6</f>
        <v>2590</v>
      </c>
      <c r="J6" s="22" t="s">
        <v>16</v>
      </c>
      <c r="K6" s="24"/>
      <c r="L6" s="25"/>
    </row>
    <row r="7" spans="1:12" ht="15.75" x14ac:dyDescent="0.25">
      <c r="A7" s="20" t="s">
        <v>231</v>
      </c>
      <c r="B7" s="21" t="s">
        <v>799</v>
      </c>
      <c r="C7" s="28" t="s">
        <v>800</v>
      </c>
      <c r="D7" s="29" t="s">
        <v>509</v>
      </c>
      <c r="E7" s="40" t="s">
        <v>510</v>
      </c>
      <c r="F7" s="22">
        <v>1176.7</v>
      </c>
      <c r="G7" s="22">
        <v>3900</v>
      </c>
      <c r="H7" s="23">
        <f>421.4+1176.7</f>
        <v>1598.1</v>
      </c>
      <c r="I7" s="22">
        <f>G7-H7</f>
        <v>2301.9</v>
      </c>
      <c r="J7" s="22" t="s">
        <v>16</v>
      </c>
      <c r="K7" s="24"/>
      <c r="L7" s="25"/>
    </row>
    <row r="8" spans="1:12" ht="15.75" x14ac:dyDescent="0.25">
      <c r="A8" s="20" t="s">
        <v>28</v>
      </c>
      <c r="B8" s="21" t="s">
        <v>801</v>
      </c>
      <c r="C8" s="28" t="s">
        <v>15</v>
      </c>
      <c r="D8" s="29" t="s">
        <v>52</v>
      </c>
      <c r="E8" s="40" t="s">
        <v>802</v>
      </c>
      <c r="F8" s="22">
        <v>46000</v>
      </c>
      <c r="G8" s="22">
        <v>72800</v>
      </c>
      <c r="H8" s="23">
        <v>46000</v>
      </c>
      <c r="I8" s="22">
        <f t="shared" ref="I8:I21" si="1">G8-H8</f>
        <v>26800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803</v>
      </c>
      <c r="C9" s="28" t="s">
        <v>497</v>
      </c>
      <c r="D9" s="29" t="s">
        <v>18</v>
      </c>
      <c r="E9" s="40" t="s">
        <v>200</v>
      </c>
      <c r="F9" s="22">
        <v>14000</v>
      </c>
      <c r="G9" s="22">
        <v>12000</v>
      </c>
      <c r="H9" s="23">
        <v>14000</v>
      </c>
      <c r="I9" s="22">
        <f>G9-H9</f>
        <v>-2000</v>
      </c>
      <c r="J9" s="22" t="s">
        <v>24</v>
      </c>
      <c r="K9" s="24"/>
      <c r="L9" s="25"/>
    </row>
    <row r="10" spans="1:12" ht="15.75" x14ac:dyDescent="0.25">
      <c r="A10" s="20" t="s">
        <v>14</v>
      </c>
      <c r="B10" s="21" t="s">
        <v>794</v>
      </c>
      <c r="C10" s="28" t="s">
        <v>795</v>
      </c>
      <c r="D10" s="29" t="s">
        <v>18</v>
      </c>
      <c r="E10" s="40" t="s">
        <v>796</v>
      </c>
      <c r="F10" s="22">
        <v>1025</v>
      </c>
      <c r="G10" s="22">
        <v>3000</v>
      </c>
      <c r="H10" s="23">
        <f>1957+1025</f>
        <v>2982</v>
      </c>
      <c r="I10" s="22">
        <f t="shared" ref="I10" si="2">G10-H10</f>
        <v>18</v>
      </c>
      <c r="J10" s="22" t="s">
        <v>31</v>
      </c>
      <c r="K10" s="24"/>
      <c r="L10" s="25"/>
    </row>
    <row r="11" spans="1:12" ht="15.75" x14ac:dyDescent="0.25">
      <c r="A11" s="20" t="s">
        <v>82</v>
      </c>
      <c r="B11" s="21" t="s">
        <v>790</v>
      </c>
      <c r="C11" s="28" t="s">
        <v>15</v>
      </c>
      <c r="D11" s="29" t="s">
        <v>374</v>
      </c>
      <c r="E11" s="40" t="s">
        <v>789</v>
      </c>
      <c r="F11" s="22">
        <v>168.7</v>
      </c>
      <c r="G11" s="22">
        <v>2000</v>
      </c>
      <c r="H11" s="23">
        <f>390+210+168.7</f>
        <v>768.7</v>
      </c>
      <c r="I11" s="22">
        <f>G11-H11</f>
        <v>1231.3</v>
      </c>
      <c r="J11" s="22" t="s">
        <v>16</v>
      </c>
      <c r="K11" s="24"/>
      <c r="L11" s="25"/>
    </row>
    <row r="12" spans="1:12" ht="15.75" x14ac:dyDescent="0.25">
      <c r="A12" s="20" t="s">
        <v>51</v>
      </c>
      <c r="B12" s="21" t="s">
        <v>480</v>
      </c>
      <c r="C12" s="28" t="s">
        <v>88</v>
      </c>
      <c r="D12" s="29" t="s">
        <v>43</v>
      </c>
      <c r="E12" s="40" t="s">
        <v>481</v>
      </c>
      <c r="F12" s="22">
        <v>1008.6</v>
      </c>
      <c r="G12" s="22">
        <v>1000</v>
      </c>
      <c r="H12" s="23">
        <v>1008.6</v>
      </c>
      <c r="I12" s="22">
        <f t="shared" ref="I12" si="3">G12-H12</f>
        <v>-8.6000000000000227</v>
      </c>
      <c r="J12" s="22" t="s">
        <v>24</v>
      </c>
      <c r="K12" s="24"/>
      <c r="L12" s="25"/>
    </row>
    <row r="13" spans="1:12" ht="15.75" x14ac:dyDescent="0.25">
      <c r="A13" s="20" t="s">
        <v>244</v>
      </c>
      <c r="B13" s="21" t="s">
        <v>734</v>
      </c>
      <c r="C13" s="28" t="s">
        <v>15</v>
      </c>
      <c r="D13" s="29" t="s">
        <v>813</v>
      </c>
      <c r="E13" s="40" t="s">
        <v>814</v>
      </c>
      <c r="F13" s="22">
        <v>50</v>
      </c>
      <c r="G13" s="22">
        <v>50</v>
      </c>
      <c r="H13" s="23">
        <v>50</v>
      </c>
      <c r="I13" s="22">
        <f>G13-H13</f>
        <v>0</v>
      </c>
      <c r="J13" s="22" t="s">
        <v>23</v>
      </c>
      <c r="K13" s="24"/>
      <c r="L13" s="25"/>
    </row>
    <row r="14" spans="1:12" ht="15.75" x14ac:dyDescent="0.25">
      <c r="A14" s="20" t="s">
        <v>17</v>
      </c>
      <c r="B14" s="21" t="s">
        <v>815</v>
      </c>
      <c r="C14" s="28" t="s">
        <v>816</v>
      </c>
      <c r="D14" s="29" t="s">
        <v>73</v>
      </c>
      <c r="E14" s="40" t="s">
        <v>402</v>
      </c>
      <c r="F14" s="22">
        <f>18+480</f>
        <v>498</v>
      </c>
      <c r="G14" s="22">
        <v>600</v>
      </c>
      <c r="H14" s="23">
        <v>498</v>
      </c>
      <c r="I14" s="22">
        <f>G14-H14</f>
        <v>102</v>
      </c>
      <c r="J14" s="22" t="s">
        <v>23</v>
      </c>
      <c r="K14" s="24"/>
      <c r="L14" s="25"/>
    </row>
    <row r="15" spans="1:12" ht="15.75" x14ac:dyDescent="0.25">
      <c r="A15" s="20" t="s">
        <v>809</v>
      </c>
      <c r="B15" s="21" t="s">
        <v>810</v>
      </c>
      <c r="C15" s="28" t="s">
        <v>775</v>
      </c>
      <c r="D15" s="29" t="s">
        <v>811</v>
      </c>
      <c r="E15" s="40" t="s">
        <v>812</v>
      </c>
      <c r="F15" s="22">
        <v>268.2</v>
      </c>
      <c r="G15" s="22">
        <v>800</v>
      </c>
      <c r="H15" s="23">
        <v>268.2</v>
      </c>
      <c r="I15" s="22">
        <f>G15-H15</f>
        <v>531.79999999999995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808</v>
      </c>
      <c r="C16" s="28" t="s">
        <v>775</v>
      </c>
      <c r="D16" s="29" t="s">
        <v>18</v>
      </c>
      <c r="E16" s="40" t="s">
        <v>776</v>
      </c>
      <c r="F16" s="22">
        <v>1000</v>
      </c>
      <c r="G16" s="22">
        <v>10000</v>
      </c>
      <c r="H16" s="23">
        <v>1000</v>
      </c>
      <c r="I16" s="22">
        <f>G16-H16</f>
        <v>9000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389</v>
      </c>
      <c r="C17" s="28" t="s">
        <v>242</v>
      </c>
      <c r="D17" s="29" t="s">
        <v>77</v>
      </c>
      <c r="E17" s="40" t="s">
        <v>96</v>
      </c>
      <c r="F17" s="22">
        <v>3750</v>
      </c>
      <c r="G17" s="42">
        <v>200000</v>
      </c>
      <c r="H17" s="23">
        <f>81000+4000+4000+4000+4000+17000+4000+4000+15000+23000+15000+7000+4500+4000+500+3750</f>
        <v>194750</v>
      </c>
      <c r="I17" s="22">
        <f t="shared" ref="I17" si="4">G17-H17</f>
        <v>5250</v>
      </c>
      <c r="J17" s="22" t="s">
        <v>16</v>
      </c>
      <c r="K17" s="24"/>
      <c r="L17" s="25"/>
    </row>
    <row r="18" spans="1:12" ht="15.75" x14ac:dyDescent="0.25">
      <c r="A18" s="20" t="s">
        <v>228</v>
      </c>
      <c r="B18" s="21" t="s">
        <v>734</v>
      </c>
      <c r="C18" s="28" t="s">
        <v>735</v>
      </c>
      <c r="D18" s="29" t="s">
        <v>65</v>
      </c>
      <c r="E18" s="40" t="s">
        <v>736</v>
      </c>
      <c r="F18" s="22">
        <v>80000</v>
      </c>
      <c r="G18" s="22">
        <v>1000000</v>
      </c>
      <c r="H18" s="23">
        <f>460000+80000</f>
        <v>540000</v>
      </c>
      <c r="I18" s="22">
        <f t="shared" si="1"/>
        <v>460000</v>
      </c>
      <c r="J18" s="22" t="s">
        <v>16</v>
      </c>
      <c r="K18" s="24"/>
      <c r="L18" s="25"/>
    </row>
    <row r="19" spans="1:12" ht="15.75" x14ac:dyDescent="0.25">
      <c r="A19" s="20" t="s">
        <v>30</v>
      </c>
      <c r="B19" s="21" t="s">
        <v>671</v>
      </c>
      <c r="C19" s="28" t="s">
        <v>672</v>
      </c>
      <c r="D19" s="29" t="s">
        <v>793</v>
      </c>
      <c r="E19" s="40" t="s">
        <v>674</v>
      </c>
      <c r="F19" s="22">
        <v>6000</v>
      </c>
      <c r="G19" s="22">
        <v>40000</v>
      </c>
      <c r="H19" s="23">
        <f>6000+6000</f>
        <v>12000</v>
      </c>
      <c r="I19" s="22">
        <f t="shared" si="1"/>
        <v>28000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791</v>
      </c>
      <c r="C20" s="28" t="s">
        <v>41</v>
      </c>
      <c r="D20" s="29" t="s">
        <v>792</v>
      </c>
      <c r="E20" s="40" t="s">
        <v>122</v>
      </c>
      <c r="F20" s="22">
        <f>6500+16500</f>
        <v>23000</v>
      </c>
      <c r="G20" s="22">
        <v>33720</v>
      </c>
      <c r="H20" s="23">
        <f>10000+23000</f>
        <v>33000</v>
      </c>
      <c r="I20" s="22">
        <f t="shared" si="1"/>
        <v>720</v>
      </c>
      <c r="J20" s="22" t="s">
        <v>31</v>
      </c>
      <c r="K20" s="24"/>
      <c r="L20" s="25"/>
    </row>
    <row r="21" spans="1:12" ht="15.75" x14ac:dyDescent="0.25">
      <c r="A21" s="20" t="s">
        <v>19</v>
      </c>
      <c r="B21" s="21" t="s">
        <v>803</v>
      </c>
      <c r="C21" s="28" t="s">
        <v>497</v>
      </c>
      <c r="D21" s="29" t="s">
        <v>18</v>
      </c>
      <c r="E21" s="40" t="s">
        <v>200</v>
      </c>
      <c r="F21" s="22">
        <v>14000</v>
      </c>
      <c r="G21" s="22">
        <v>12000</v>
      </c>
      <c r="H21" s="23">
        <v>14000</v>
      </c>
      <c r="I21" s="22">
        <f t="shared" si="1"/>
        <v>-2000</v>
      </c>
      <c r="J21" s="22" t="s">
        <v>24</v>
      </c>
      <c r="K21" s="24"/>
      <c r="L21" s="25"/>
    </row>
    <row r="22" spans="1:12" ht="16.5" thickBot="1" x14ac:dyDescent="0.3">
      <c r="A22" s="30"/>
      <c r="B22" s="31"/>
      <c r="C22" s="32"/>
      <c r="D22" s="33"/>
      <c r="E22" s="41"/>
      <c r="F22" s="34"/>
      <c r="G22" s="34"/>
      <c r="H22" s="35"/>
      <c r="I22" s="34"/>
      <c r="J22" s="34" t="s">
        <v>64</v>
      </c>
      <c r="K22" s="36"/>
      <c r="L22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L29"/>
  <sheetViews>
    <sheetView workbookViewId="0">
      <pane xSplit="3" topLeftCell="E1" activePane="topRight" state="frozen"/>
      <selection pane="topRight" activeCell="A24" sqref="A24:XFD24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806</v>
      </c>
      <c r="C4" s="26" t="s">
        <v>15</v>
      </c>
      <c r="D4" s="27" t="s">
        <v>18</v>
      </c>
      <c r="E4" s="39" t="s">
        <v>807</v>
      </c>
      <c r="F4" s="16">
        <v>7000</v>
      </c>
      <c r="G4" s="16">
        <v>20000</v>
      </c>
      <c r="H4" s="17">
        <f>12600+7000</f>
        <v>19600</v>
      </c>
      <c r="I4" s="16">
        <f t="shared" ref="I4" si="0">G4-H4</f>
        <v>400</v>
      </c>
      <c r="J4" s="16" t="s">
        <v>16</v>
      </c>
      <c r="K4" s="18"/>
      <c r="L4" s="19"/>
    </row>
    <row r="5" spans="1:12" ht="15.75" x14ac:dyDescent="0.25">
      <c r="A5" s="20" t="s">
        <v>30</v>
      </c>
      <c r="B5" s="21" t="s">
        <v>804</v>
      </c>
      <c r="C5" s="28" t="s">
        <v>805</v>
      </c>
      <c r="D5" s="29" t="s">
        <v>37</v>
      </c>
      <c r="E5" s="40" t="s">
        <v>313</v>
      </c>
      <c r="F5" s="22">
        <v>12000</v>
      </c>
      <c r="G5" s="22">
        <v>40000</v>
      </c>
      <c r="H5" s="23">
        <f>22000+12000</f>
        <v>34000</v>
      </c>
      <c r="I5" s="22">
        <f>G5-H5</f>
        <v>6000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835</v>
      </c>
      <c r="C6" s="28" t="s">
        <v>70</v>
      </c>
      <c r="D6" s="29" t="s">
        <v>836</v>
      </c>
      <c r="E6" s="40" t="s">
        <v>222</v>
      </c>
      <c r="F6" s="22">
        <v>5850</v>
      </c>
      <c r="G6" s="22">
        <v>160000</v>
      </c>
      <c r="H6" s="23">
        <v>5850</v>
      </c>
      <c r="I6" s="22">
        <f>G6-H6</f>
        <v>154150</v>
      </c>
      <c r="J6" s="22" t="s">
        <v>16</v>
      </c>
      <c r="K6" s="24"/>
      <c r="L6" s="25"/>
    </row>
    <row r="7" spans="1:12" ht="15.75" x14ac:dyDescent="0.25">
      <c r="A7" s="20" t="s">
        <v>231</v>
      </c>
      <c r="B7" s="21" t="s">
        <v>799</v>
      </c>
      <c r="C7" s="28" t="s">
        <v>800</v>
      </c>
      <c r="D7" s="29" t="s">
        <v>509</v>
      </c>
      <c r="E7" s="40" t="s">
        <v>510</v>
      </c>
      <c r="F7" s="22">
        <v>592.6</v>
      </c>
      <c r="G7" s="22">
        <v>3900</v>
      </c>
      <c r="H7" s="23">
        <f>421.4+1176.7+592.6</f>
        <v>2190.6999999999998</v>
      </c>
      <c r="I7" s="22">
        <f>G7-H7</f>
        <v>1709.3000000000002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837</v>
      </c>
      <c r="C8" s="28" t="s">
        <v>287</v>
      </c>
      <c r="D8" s="29" t="s">
        <v>42</v>
      </c>
      <c r="E8" s="40" t="s">
        <v>289</v>
      </c>
      <c r="F8" s="22">
        <v>25730</v>
      </c>
      <c r="G8" s="22">
        <v>50000</v>
      </c>
      <c r="H8" s="23">
        <v>25730</v>
      </c>
      <c r="I8" s="22">
        <f t="shared" ref="I8:I28" si="1">G8-H8</f>
        <v>24270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845</v>
      </c>
      <c r="C9" s="28" t="s">
        <v>15</v>
      </c>
      <c r="D9" s="29" t="s">
        <v>344</v>
      </c>
      <c r="E9" s="40" t="s">
        <v>194</v>
      </c>
      <c r="F9" s="22">
        <f>1500+1500</f>
        <v>3000</v>
      </c>
      <c r="G9" s="22">
        <v>6000</v>
      </c>
      <c r="H9" s="23">
        <v>3000</v>
      </c>
      <c r="I9" s="22">
        <f>G9-H9</f>
        <v>3000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846</v>
      </c>
      <c r="C10" s="28" t="s">
        <v>350</v>
      </c>
      <c r="D10" s="29" t="s">
        <v>211</v>
      </c>
      <c r="E10" s="40" t="s">
        <v>351</v>
      </c>
      <c r="F10" s="22">
        <v>401.2</v>
      </c>
      <c r="G10" s="22">
        <v>500</v>
      </c>
      <c r="H10" s="23">
        <v>401.2</v>
      </c>
      <c r="I10" s="22">
        <f t="shared" ref="I10" si="2">G10-H10</f>
        <v>98.800000000000011</v>
      </c>
      <c r="J10" s="22" t="s">
        <v>16</v>
      </c>
      <c r="K10" s="24"/>
      <c r="L10" s="25"/>
    </row>
    <row r="11" spans="1:12" ht="15.75" x14ac:dyDescent="0.25">
      <c r="A11" s="20" t="s">
        <v>82</v>
      </c>
      <c r="B11" s="21" t="s">
        <v>790</v>
      </c>
      <c r="C11" s="28" t="s">
        <v>15</v>
      </c>
      <c r="D11" s="29" t="s">
        <v>374</v>
      </c>
      <c r="E11" s="40" t="s">
        <v>789</v>
      </c>
      <c r="F11" s="22">
        <v>335</v>
      </c>
      <c r="G11" s="22">
        <v>2000</v>
      </c>
      <c r="H11" s="23">
        <f>390+210+168.7+335</f>
        <v>1103.7</v>
      </c>
      <c r="I11" s="22">
        <f>G11-H11</f>
        <v>896.3</v>
      </c>
      <c r="J11" s="22" t="s">
        <v>16</v>
      </c>
      <c r="K11" s="24"/>
      <c r="L11" s="25"/>
    </row>
    <row r="12" spans="1:12" ht="15.75" x14ac:dyDescent="0.25">
      <c r="A12" s="20" t="s">
        <v>28</v>
      </c>
      <c r="B12" s="21" t="s">
        <v>838</v>
      </c>
      <c r="C12" s="28" t="s">
        <v>839</v>
      </c>
      <c r="D12" s="29" t="s">
        <v>18</v>
      </c>
      <c r="E12" s="40" t="s">
        <v>840</v>
      </c>
      <c r="F12" s="22">
        <v>50</v>
      </c>
      <c r="G12" s="22">
        <v>50</v>
      </c>
      <c r="H12" s="23">
        <v>50</v>
      </c>
      <c r="I12" s="22">
        <f>G12-H12</f>
        <v>0</v>
      </c>
      <c r="J12" s="22" t="s">
        <v>23</v>
      </c>
      <c r="K12" s="24"/>
      <c r="L12" s="25"/>
    </row>
    <row r="13" spans="1:12" ht="15.75" x14ac:dyDescent="0.25">
      <c r="A13" s="20" t="s">
        <v>28</v>
      </c>
      <c r="B13" s="21" t="s">
        <v>841</v>
      </c>
      <c r="C13" s="28" t="s">
        <v>839</v>
      </c>
      <c r="D13" s="29" t="s">
        <v>18</v>
      </c>
      <c r="E13" s="40" t="s">
        <v>842</v>
      </c>
      <c r="F13" s="22">
        <v>26000</v>
      </c>
      <c r="G13" s="22">
        <v>24400</v>
      </c>
      <c r="H13" s="23">
        <v>26000</v>
      </c>
      <c r="I13" s="22">
        <f>G13-H13</f>
        <v>-1600</v>
      </c>
      <c r="J13" s="22" t="s">
        <v>24</v>
      </c>
      <c r="K13" s="24"/>
      <c r="L13" s="25"/>
    </row>
    <row r="14" spans="1:12" ht="15.75" x14ac:dyDescent="0.25">
      <c r="A14" s="20" t="s">
        <v>17</v>
      </c>
      <c r="B14" s="21" t="s">
        <v>843</v>
      </c>
      <c r="C14" s="28" t="s">
        <v>825</v>
      </c>
      <c r="D14" s="29" t="s">
        <v>826</v>
      </c>
      <c r="E14" s="40" t="s">
        <v>844</v>
      </c>
      <c r="F14" s="22">
        <v>50</v>
      </c>
      <c r="G14" s="22">
        <v>50</v>
      </c>
      <c r="H14" s="23">
        <v>50</v>
      </c>
      <c r="I14" s="22">
        <f>G14-H14</f>
        <v>0</v>
      </c>
      <c r="J14" s="22" t="s">
        <v>23</v>
      </c>
      <c r="K14" s="24"/>
      <c r="L14" s="25"/>
    </row>
    <row r="15" spans="1:12" ht="15.75" x14ac:dyDescent="0.25">
      <c r="A15" s="20" t="s">
        <v>17</v>
      </c>
      <c r="B15" s="21" t="s">
        <v>824</v>
      </c>
      <c r="C15" s="28" t="s">
        <v>825</v>
      </c>
      <c r="D15" s="29" t="s">
        <v>826</v>
      </c>
      <c r="E15" s="40" t="s">
        <v>827</v>
      </c>
      <c r="F15" s="22">
        <v>44.4</v>
      </c>
      <c r="G15" s="22">
        <v>50</v>
      </c>
      <c r="H15" s="23">
        <v>44.4</v>
      </c>
      <c r="I15" s="22">
        <f t="shared" ref="I15" si="3">G15-H15</f>
        <v>5.6000000000000014</v>
      </c>
      <c r="J15" s="22" t="s">
        <v>23</v>
      </c>
      <c r="K15" s="24"/>
      <c r="L15" s="25"/>
    </row>
    <row r="16" spans="1:12" ht="15.75" x14ac:dyDescent="0.25">
      <c r="A16" s="20" t="s">
        <v>17</v>
      </c>
      <c r="B16" s="21" t="s">
        <v>828</v>
      </c>
      <c r="C16" s="28" t="s">
        <v>825</v>
      </c>
      <c r="D16" s="29" t="s">
        <v>826</v>
      </c>
      <c r="E16" s="40" t="s">
        <v>829</v>
      </c>
      <c r="F16" s="22">
        <v>53</v>
      </c>
      <c r="G16" s="22">
        <v>50</v>
      </c>
      <c r="H16" s="23">
        <v>53</v>
      </c>
      <c r="I16" s="22">
        <f t="shared" ref="I16:I21" si="4">G16-H16</f>
        <v>-3</v>
      </c>
      <c r="J16" s="22" t="s">
        <v>23</v>
      </c>
      <c r="K16" s="24"/>
      <c r="L16" s="25"/>
    </row>
    <row r="17" spans="1:12" ht="15.75" x14ac:dyDescent="0.25">
      <c r="A17" s="20" t="s">
        <v>17</v>
      </c>
      <c r="B17" s="21" t="s">
        <v>830</v>
      </c>
      <c r="C17" s="28" t="s">
        <v>831</v>
      </c>
      <c r="D17" s="29" t="s">
        <v>73</v>
      </c>
      <c r="E17" s="40" t="s">
        <v>402</v>
      </c>
      <c r="F17" s="22">
        <v>750</v>
      </c>
      <c r="G17" s="22">
        <v>2000</v>
      </c>
      <c r="H17" s="23">
        <v>750</v>
      </c>
      <c r="I17" s="22">
        <f t="shared" si="4"/>
        <v>1250</v>
      </c>
      <c r="J17" s="22" t="s">
        <v>16</v>
      </c>
      <c r="K17" s="24"/>
      <c r="L17" s="25"/>
    </row>
    <row r="18" spans="1:12" ht="15.75" x14ac:dyDescent="0.25">
      <c r="A18" s="20" t="s">
        <v>809</v>
      </c>
      <c r="B18" s="21" t="s">
        <v>810</v>
      </c>
      <c r="C18" s="28" t="s">
        <v>775</v>
      </c>
      <c r="D18" s="29" t="s">
        <v>811</v>
      </c>
      <c r="E18" s="40" t="s">
        <v>812</v>
      </c>
      <c r="F18" s="22">
        <v>531.15</v>
      </c>
      <c r="G18" s="22">
        <v>800</v>
      </c>
      <c r="H18" s="23">
        <f>268.2+531.15</f>
        <v>799.34999999999991</v>
      </c>
      <c r="I18" s="22">
        <f t="shared" si="4"/>
        <v>0.65000000000009095</v>
      </c>
      <c r="J18" s="22" t="s">
        <v>16</v>
      </c>
      <c r="K18" s="24"/>
      <c r="L18" s="25"/>
    </row>
    <row r="19" spans="1:12" ht="15.75" x14ac:dyDescent="0.25">
      <c r="A19" s="20" t="s">
        <v>17</v>
      </c>
      <c r="B19" s="21" t="s">
        <v>808</v>
      </c>
      <c r="C19" s="28" t="s">
        <v>775</v>
      </c>
      <c r="D19" s="29" t="s">
        <v>18</v>
      </c>
      <c r="E19" s="40" t="s">
        <v>776</v>
      </c>
      <c r="F19" s="22">
        <v>870</v>
      </c>
      <c r="G19" s="22">
        <v>10000</v>
      </c>
      <c r="H19" s="23">
        <f>1000+870</f>
        <v>1870</v>
      </c>
      <c r="I19" s="22">
        <f t="shared" si="4"/>
        <v>8130</v>
      </c>
      <c r="J19" s="22" t="s">
        <v>16</v>
      </c>
      <c r="K19" s="24"/>
      <c r="L19" s="25"/>
    </row>
    <row r="20" spans="1:12" ht="15.75" x14ac:dyDescent="0.25">
      <c r="A20" s="20" t="s">
        <v>19</v>
      </c>
      <c r="B20" s="21" t="s">
        <v>769</v>
      </c>
      <c r="C20" s="28" t="s">
        <v>15</v>
      </c>
      <c r="D20" s="29" t="s">
        <v>18</v>
      </c>
      <c r="E20" s="40" t="s">
        <v>202</v>
      </c>
      <c r="F20" s="22">
        <v>9125</v>
      </c>
      <c r="G20" s="22">
        <v>20000</v>
      </c>
      <c r="H20" s="23">
        <v>19975</v>
      </c>
      <c r="I20" s="22">
        <f t="shared" si="4"/>
        <v>25</v>
      </c>
      <c r="J20" s="22" t="s">
        <v>23</v>
      </c>
      <c r="K20" s="24"/>
      <c r="L20" s="25"/>
    </row>
    <row r="21" spans="1:12" ht="15.75" x14ac:dyDescent="0.25">
      <c r="A21" s="20" t="s">
        <v>19</v>
      </c>
      <c r="B21" s="21" t="s">
        <v>847</v>
      </c>
      <c r="C21" s="28" t="s">
        <v>15</v>
      </c>
      <c r="D21" s="29" t="s">
        <v>18</v>
      </c>
      <c r="E21" s="40" t="s">
        <v>848</v>
      </c>
      <c r="F21" s="22">
        <v>12000</v>
      </c>
      <c r="G21" s="22">
        <v>20000</v>
      </c>
      <c r="H21" s="23">
        <v>12000</v>
      </c>
      <c r="I21" s="22">
        <f t="shared" si="4"/>
        <v>8000</v>
      </c>
      <c r="J21" s="22" t="s">
        <v>16</v>
      </c>
      <c r="K21" s="24"/>
      <c r="L21" s="25"/>
    </row>
    <row r="22" spans="1:12" ht="15.75" x14ac:dyDescent="0.25">
      <c r="A22" s="20" t="s">
        <v>228</v>
      </c>
      <c r="B22" s="21" t="s">
        <v>832</v>
      </c>
      <c r="C22" s="28" t="s">
        <v>833</v>
      </c>
      <c r="D22" s="29" t="s">
        <v>48</v>
      </c>
      <c r="E22" s="40" t="s">
        <v>834</v>
      </c>
      <c r="F22" s="22">
        <v>24000</v>
      </c>
      <c r="G22" s="42">
        <v>43570</v>
      </c>
      <c r="H22" s="23">
        <v>24000</v>
      </c>
      <c r="I22" s="22">
        <f t="shared" ref="I22:I24" si="5">G22-H22</f>
        <v>19570</v>
      </c>
      <c r="J22" s="22" t="s">
        <v>16</v>
      </c>
      <c r="K22" s="24"/>
      <c r="L22" s="25"/>
    </row>
    <row r="23" spans="1:12" ht="15.75" x14ac:dyDescent="0.25">
      <c r="A23" s="20" t="s">
        <v>14</v>
      </c>
      <c r="B23" s="21" t="s">
        <v>849</v>
      </c>
      <c r="C23" s="28" t="s">
        <v>850</v>
      </c>
      <c r="D23" s="29" t="s">
        <v>42</v>
      </c>
      <c r="E23" s="40" t="s">
        <v>365</v>
      </c>
      <c r="F23" s="22">
        <v>5000</v>
      </c>
      <c r="G23" s="42">
        <v>5000</v>
      </c>
      <c r="H23" s="23">
        <v>5000</v>
      </c>
      <c r="I23" s="22">
        <f t="shared" si="5"/>
        <v>0</v>
      </c>
      <c r="J23" s="22" t="s">
        <v>23</v>
      </c>
      <c r="K23" s="24"/>
      <c r="L23" s="25"/>
    </row>
    <row r="24" spans="1:12" ht="15.75" x14ac:dyDescent="0.25">
      <c r="A24" s="20" t="s">
        <v>40</v>
      </c>
      <c r="B24" s="21" t="s">
        <v>372</v>
      </c>
      <c r="C24" s="28" t="s">
        <v>15</v>
      </c>
      <c r="D24" s="29" t="s">
        <v>54</v>
      </c>
      <c r="E24" s="40" t="s">
        <v>69</v>
      </c>
      <c r="F24" s="22">
        <v>10000</v>
      </c>
      <c r="G24" s="42">
        <v>2000000</v>
      </c>
      <c r="H24" s="23">
        <v>10000</v>
      </c>
      <c r="I24" s="22">
        <f t="shared" si="5"/>
        <v>1990000</v>
      </c>
      <c r="J24" s="22" t="s">
        <v>16</v>
      </c>
      <c r="K24" s="24"/>
      <c r="L24" s="25"/>
    </row>
    <row r="25" spans="1:12" ht="15.75" x14ac:dyDescent="0.25">
      <c r="A25" s="20" t="s">
        <v>228</v>
      </c>
      <c r="B25" s="21" t="s">
        <v>734</v>
      </c>
      <c r="C25" s="28" t="s">
        <v>735</v>
      </c>
      <c r="D25" s="29" t="s">
        <v>65</v>
      </c>
      <c r="E25" s="40" t="s">
        <v>736</v>
      </c>
      <c r="F25" s="22">
        <v>90000</v>
      </c>
      <c r="G25" s="22">
        <v>1000000</v>
      </c>
      <c r="H25" s="23">
        <f>460000+80000+90000</f>
        <v>630000</v>
      </c>
      <c r="I25" s="22">
        <f t="shared" si="1"/>
        <v>370000</v>
      </c>
      <c r="J25" s="22" t="s">
        <v>16</v>
      </c>
      <c r="K25" s="24"/>
      <c r="L25" s="25"/>
    </row>
    <row r="26" spans="1:12" ht="15.75" x14ac:dyDescent="0.25">
      <c r="A26" s="20" t="s">
        <v>152</v>
      </c>
      <c r="B26" s="21" t="s">
        <v>822</v>
      </c>
      <c r="C26" s="28" t="s">
        <v>330</v>
      </c>
      <c r="D26" s="29" t="s">
        <v>823</v>
      </c>
      <c r="E26" s="40" t="s">
        <v>331</v>
      </c>
      <c r="F26" s="22">
        <v>177.75</v>
      </c>
      <c r="G26" s="22">
        <v>180</v>
      </c>
      <c r="H26" s="23">
        <v>177.75</v>
      </c>
      <c r="I26" s="22">
        <f t="shared" si="1"/>
        <v>2.25</v>
      </c>
      <c r="J26" s="22" t="s">
        <v>23</v>
      </c>
      <c r="K26" s="24"/>
      <c r="L26" s="25"/>
    </row>
    <row r="27" spans="1:12" ht="15.75" x14ac:dyDescent="0.25">
      <c r="A27" s="20" t="s">
        <v>21</v>
      </c>
      <c r="B27" s="21" t="s">
        <v>817</v>
      </c>
      <c r="C27" s="28" t="s">
        <v>41</v>
      </c>
      <c r="D27" s="29" t="s">
        <v>818</v>
      </c>
      <c r="E27" s="40" t="s">
        <v>819</v>
      </c>
      <c r="F27" s="22">
        <v>6290</v>
      </c>
      <c r="G27" s="22">
        <v>100000</v>
      </c>
      <c r="H27" s="23">
        <v>6290</v>
      </c>
      <c r="I27" s="22">
        <f t="shared" si="1"/>
        <v>93710</v>
      </c>
      <c r="J27" s="22" t="s">
        <v>16</v>
      </c>
      <c r="K27" s="24"/>
      <c r="L27" s="25"/>
    </row>
    <row r="28" spans="1:12" ht="15.75" x14ac:dyDescent="0.25">
      <c r="A28" s="20" t="s">
        <v>21</v>
      </c>
      <c r="B28" s="21" t="s">
        <v>820</v>
      </c>
      <c r="C28" s="28" t="s">
        <v>41</v>
      </c>
      <c r="D28" s="29" t="s">
        <v>821</v>
      </c>
      <c r="E28" s="40" t="s">
        <v>819</v>
      </c>
      <c r="F28" s="22">
        <v>6500</v>
      </c>
      <c r="G28" s="22">
        <v>20000</v>
      </c>
      <c r="H28" s="23">
        <v>6500</v>
      </c>
      <c r="I28" s="22">
        <f t="shared" si="1"/>
        <v>13500</v>
      </c>
      <c r="J28" s="22" t="s">
        <v>16</v>
      </c>
      <c r="K28" s="24"/>
      <c r="L28" s="25"/>
    </row>
    <row r="29" spans="1:12" ht="16.5" thickBot="1" x14ac:dyDescent="0.3">
      <c r="A29" s="30"/>
      <c r="B29" s="31"/>
      <c r="C29" s="32"/>
      <c r="D29" s="33"/>
      <c r="E29" s="41"/>
      <c r="F29" s="34"/>
      <c r="G29" s="34"/>
      <c r="H29" s="35"/>
      <c r="I29" s="34"/>
      <c r="J29" s="34" t="s">
        <v>64</v>
      </c>
      <c r="K29" s="36"/>
      <c r="L29" s="37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L23"/>
  <sheetViews>
    <sheetView workbookViewId="0">
      <pane xSplit="3" topLeftCell="D1" activePane="topRight" state="frozen"/>
      <selection pane="topRight" activeCell="F18" sqref="F18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855</v>
      </c>
      <c r="C4" s="26" t="s">
        <v>856</v>
      </c>
      <c r="D4" s="27" t="s">
        <v>364</v>
      </c>
      <c r="E4" s="39" t="s">
        <v>365</v>
      </c>
      <c r="F4" s="16">
        <v>12000</v>
      </c>
      <c r="G4" s="16">
        <v>15000</v>
      </c>
      <c r="H4" s="17">
        <v>12000</v>
      </c>
      <c r="I4" s="16">
        <f t="shared" ref="I4" si="0">G4-H4</f>
        <v>3000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687</v>
      </c>
      <c r="C5" s="28" t="s">
        <v>15</v>
      </c>
      <c r="D5" s="29" t="s">
        <v>858</v>
      </c>
      <c r="E5" s="40" t="s">
        <v>689</v>
      </c>
      <c r="F5" s="22">
        <v>2600</v>
      </c>
      <c r="G5" s="22">
        <v>10000</v>
      </c>
      <c r="H5" s="23">
        <v>2600</v>
      </c>
      <c r="I5" s="22">
        <f>G5-H5</f>
        <v>7400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835</v>
      </c>
      <c r="C6" s="28" t="s">
        <v>70</v>
      </c>
      <c r="D6" s="29" t="s">
        <v>836</v>
      </c>
      <c r="E6" s="40" t="s">
        <v>222</v>
      </c>
      <c r="F6" s="22">
        <v>40000</v>
      </c>
      <c r="G6" s="22">
        <v>160000</v>
      </c>
      <c r="H6" s="23">
        <f>5850+40000</f>
        <v>45850</v>
      </c>
      <c r="I6" s="22">
        <f>G6-H6</f>
        <v>114150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383</v>
      </c>
      <c r="C7" s="28" t="s">
        <v>15</v>
      </c>
      <c r="D7" s="29" t="s">
        <v>18</v>
      </c>
      <c r="E7" s="40" t="s">
        <v>384</v>
      </c>
      <c r="F7" s="22">
        <v>16800</v>
      </c>
      <c r="G7" s="22">
        <v>84700</v>
      </c>
      <c r="H7" s="23">
        <v>16800</v>
      </c>
      <c r="I7" s="22">
        <f>G7-H7</f>
        <v>67900</v>
      </c>
      <c r="J7" s="22" t="s">
        <v>16</v>
      </c>
      <c r="K7" s="24"/>
      <c r="L7" s="25"/>
    </row>
    <row r="8" spans="1:12" ht="15.75" x14ac:dyDescent="0.25">
      <c r="A8" s="20" t="s">
        <v>28</v>
      </c>
      <c r="B8" s="21" t="s">
        <v>801</v>
      </c>
      <c r="C8" s="28" t="s">
        <v>15</v>
      </c>
      <c r="D8" s="29" t="s">
        <v>52</v>
      </c>
      <c r="E8" s="40" t="s">
        <v>802</v>
      </c>
      <c r="F8" s="22">
        <v>8000</v>
      </c>
      <c r="G8" s="22">
        <v>72800</v>
      </c>
      <c r="H8" s="23">
        <v>8000</v>
      </c>
      <c r="I8" s="22">
        <f t="shared" ref="I8:I22" si="1">G8-H8</f>
        <v>64800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845</v>
      </c>
      <c r="C9" s="28" t="s">
        <v>15</v>
      </c>
      <c r="D9" s="29" t="s">
        <v>344</v>
      </c>
      <c r="E9" s="40" t="s">
        <v>194</v>
      </c>
      <c r="F9" s="22">
        <v>3240</v>
      </c>
      <c r="G9" s="22">
        <v>6000</v>
      </c>
      <c r="H9" s="23">
        <f>3000+3240</f>
        <v>6240</v>
      </c>
      <c r="I9" s="22">
        <f>G9-H9</f>
        <v>-240</v>
      </c>
      <c r="J9" s="22" t="s">
        <v>24</v>
      </c>
      <c r="K9" s="24"/>
      <c r="L9" s="25"/>
    </row>
    <row r="10" spans="1:12" ht="15.75" x14ac:dyDescent="0.25">
      <c r="A10" s="20" t="s">
        <v>22</v>
      </c>
      <c r="B10" s="21" t="s">
        <v>846</v>
      </c>
      <c r="C10" s="28" t="s">
        <v>350</v>
      </c>
      <c r="D10" s="29" t="s">
        <v>211</v>
      </c>
      <c r="E10" s="40" t="s">
        <v>351</v>
      </c>
      <c r="F10" s="22">
        <v>121.2</v>
      </c>
      <c r="G10" s="22">
        <v>500</v>
      </c>
      <c r="H10" s="23">
        <f>401.2+121.2</f>
        <v>522.4</v>
      </c>
      <c r="I10" s="22">
        <f t="shared" ref="I10" si="2">G10-H10</f>
        <v>-22.399999999999977</v>
      </c>
      <c r="J10" s="22" t="s">
        <v>24</v>
      </c>
      <c r="K10" s="24"/>
      <c r="L10" s="25"/>
    </row>
    <row r="11" spans="1:12" ht="15.75" x14ac:dyDescent="0.25">
      <c r="A11" s="20" t="s">
        <v>19</v>
      </c>
      <c r="B11" s="21" t="s">
        <v>859</v>
      </c>
      <c r="C11" s="28" t="s">
        <v>833</v>
      </c>
      <c r="D11" s="29" t="s">
        <v>48</v>
      </c>
      <c r="E11" s="40" t="s">
        <v>860</v>
      </c>
      <c r="F11" s="22">
        <f>45380+3000</f>
        <v>48380</v>
      </c>
      <c r="G11" s="22">
        <v>43570</v>
      </c>
      <c r="H11" s="23">
        <v>48380</v>
      </c>
      <c r="I11" s="22">
        <f>G11-H11</f>
        <v>-4810</v>
      </c>
      <c r="J11" s="22" t="s">
        <v>24</v>
      </c>
      <c r="K11" s="24"/>
      <c r="L11" s="25"/>
    </row>
    <row r="12" spans="1:12" ht="15.75" x14ac:dyDescent="0.25">
      <c r="A12" s="20" t="s">
        <v>17</v>
      </c>
      <c r="B12" s="21" t="s">
        <v>851</v>
      </c>
      <c r="C12" s="28" t="s">
        <v>839</v>
      </c>
      <c r="D12" s="29" t="s">
        <v>18</v>
      </c>
      <c r="E12" s="40" t="s">
        <v>852</v>
      </c>
      <c r="F12" s="22">
        <v>1487</v>
      </c>
      <c r="G12" s="22">
        <v>1506</v>
      </c>
      <c r="H12" s="23">
        <v>1487</v>
      </c>
      <c r="I12" s="22">
        <f>G12-H12</f>
        <v>19</v>
      </c>
      <c r="J12" s="22" t="s">
        <v>23</v>
      </c>
      <c r="K12" s="24"/>
      <c r="L12" s="25"/>
    </row>
    <row r="13" spans="1:12" ht="15.75" x14ac:dyDescent="0.25">
      <c r="A13" s="20" t="s">
        <v>17</v>
      </c>
      <c r="B13" s="21" t="s">
        <v>853</v>
      </c>
      <c r="C13" s="28" t="s">
        <v>839</v>
      </c>
      <c r="D13" s="29" t="s">
        <v>18</v>
      </c>
      <c r="E13" s="40" t="s">
        <v>854</v>
      </c>
      <c r="F13" s="22">
        <v>867</v>
      </c>
      <c r="G13" s="22">
        <v>1082</v>
      </c>
      <c r="H13" s="23">
        <v>867</v>
      </c>
      <c r="I13" s="22">
        <f>G13-H13</f>
        <v>215</v>
      </c>
      <c r="J13" s="22" t="s">
        <v>16</v>
      </c>
      <c r="K13" s="24"/>
      <c r="L13" s="25"/>
    </row>
    <row r="14" spans="1:12" ht="15.75" x14ac:dyDescent="0.25">
      <c r="A14" s="20" t="s">
        <v>231</v>
      </c>
      <c r="B14" s="21" t="s">
        <v>861</v>
      </c>
      <c r="C14" s="28" t="s">
        <v>34</v>
      </c>
      <c r="D14" s="29" t="s">
        <v>862</v>
      </c>
      <c r="E14" s="40" t="s">
        <v>863</v>
      </c>
      <c r="F14" s="22">
        <v>100</v>
      </c>
      <c r="G14" s="22">
        <v>100</v>
      </c>
      <c r="H14" s="23">
        <v>100</v>
      </c>
      <c r="I14" s="22">
        <f>G14-H14</f>
        <v>0</v>
      </c>
      <c r="J14" s="22" t="s">
        <v>23</v>
      </c>
      <c r="K14" s="24"/>
      <c r="L14" s="25"/>
    </row>
    <row r="15" spans="1:12" ht="15.75" x14ac:dyDescent="0.25">
      <c r="A15" s="20" t="s">
        <v>231</v>
      </c>
      <c r="B15" s="21" t="s">
        <v>864</v>
      </c>
      <c r="C15" s="28" t="s">
        <v>865</v>
      </c>
      <c r="D15" s="29" t="s">
        <v>237</v>
      </c>
      <c r="E15" s="40" t="s">
        <v>866</v>
      </c>
      <c r="F15" s="22">
        <v>204.05</v>
      </c>
      <c r="G15" s="22">
        <v>500</v>
      </c>
      <c r="H15" s="23">
        <v>204.05</v>
      </c>
      <c r="I15" s="22">
        <f t="shared" ref="I15" si="3">G15-H15</f>
        <v>295.95</v>
      </c>
      <c r="J15" s="22" t="s">
        <v>16</v>
      </c>
      <c r="K15" s="24"/>
      <c r="L15" s="25"/>
    </row>
    <row r="16" spans="1:12" ht="15.75" x14ac:dyDescent="0.25">
      <c r="A16" s="20" t="s">
        <v>19</v>
      </c>
      <c r="B16" s="21" t="s">
        <v>847</v>
      </c>
      <c r="C16" s="28" t="s">
        <v>15</v>
      </c>
      <c r="D16" s="29" t="s">
        <v>18</v>
      </c>
      <c r="E16" s="40" t="s">
        <v>848</v>
      </c>
      <c r="F16" s="22">
        <v>7400</v>
      </c>
      <c r="G16" s="22">
        <v>20000</v>
      </c>
      <c r="H16" s="23">
        <f>12000+7400</f>
        <v>19400</v>
      </c>
      <c r="I16" s="22">
        <f>G16-H16</f>
        <v>600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869</v>
      </c>
      <c r="C17" s="28" t="s">
        <v>870</v>
      </c>
      <c r="D17" s="29" t="s">
        <v>18</v>
      </c>
      <c r="E17" s="40" t="s">
        <v>342</v>
      </c>
      <c r="F17" s="22">
        <v>62.4</v>
      </c>
      <c r="G17" s="42">
        <v>50</v>
      </c>
      <c r="H17" s="23">
        <v>62.4</v>
      </c>
      <c r="I17" s="22">
        <f t="shared" ref="I17:I18" si="4">G17-H17</f>
        <v>-12.399999999999999</v>
      </c>
      <c r="J17" s="22" t="s">
        <v>24</v>
      </c>
      <c r="K17" s="24"/>
      <c r="L17" s="25"/>
    </row>
    <row r="18" spans="1:12" ht="15.75" x14ac:dyDescent="0.25">
      <c r="A18" s="20" t="s">
        <v>17</v>
      </c>
      <c r="B18" s="21" t="s">
        <v>871</v>
      </c>
      <c r="C18" s="28" t="s">
        <v>870</v>
      </c>
      <c r="D18" s="29" t="s">
        <v>18</v>
      </c>
      <c r="E18" s="40" t="s">
        <v>646</v>
      </c>
      <c r="F18" s="22">
        <v>971</v>
      </c>
      <c r="G18" s="42">
        <v>1000</v>
      </c>
      <c r="H18" s="23">
        <v>971</v>
      </c>
      <c r="I18" s="22">
        <f t="shared" si="4"/>
        <v>29</v>
      </c>
      <c r="J18" s="22" t="s">
        <v>31</v>
      </c>
      <c r="K18" s="24"/>
      <c r="L18" s="25"/>
    </row>
    <row r="19" spans="1:12" ht="15.75" x14ac:dyDescent="0.25">
      <c r="A19" s="20" t="s">
        <v>22</v>
      </c>
      <c r="B19" s="21" t="s">
        <v>872</v>
      </c>
      <c r="C19" s="28" t="s">
        <v>718</v>
      </c>
      <c r="D19" s="29" t="s">
        <v>211</v>
      </c>
      <c r="E19" s="40" t="s">
        <v>873</v>
      </c>
      <c r="F19" s="22">
        <v>2</v>
      </c>
      <c r="G19" s="42">
        <v>2</v>
      </c>
      <c r="H19" s="23">
        <v>2</v>
      </c>
      <c r="I19" s="22">
        <f>G19-H19</f>
        <v>0</v>
      </c>
      <c r="J19" s="22" t="s">
        <v>23</v>
      </c>
      <c r="K19" s="24"/>
      <c r="L19" s="25"/>
    </row>
    <row r="20" spans="1:12" ht="15.75" x14ac:dyDescent="0.25">
      <c r="A20" s="20" t="s">
        <v>228</v>
      </c>
      <c r="B20" s="21" t="s">
        <v>734</v>
      </c>
      <c r="C20" s="28" t="s">
        <v>735</v>
      </c>
      <c r="D20" s="29" t="s">
        <v>65</v>
      </c>
      <c r="E20" s="40" t="s">
        <v>736</v>
      </c>
      <c r="F20" s="22">
        <v>40000</v>
      </c>
      <c r="G20" s="22">
        <v>1000000</v>
      </c>
      <c r="H20" s="23">
        <f>460000+80000+90000+40000</f>
        <v>670000</v>
      </c>
      <c r="I20" s="22">
        <f t="shared" si="1"/>
        <v>330000</v>
      </c>
      <c r="J20" s="22" t="s">
        <v>16</v>
      </c>
      <c r="K20" s="24"/>
      <c r="L20" s="25"/>
    </row>
    <row r="21" spans="1:12" ht="15.75" x14ac:dyDescent="0.25">
      <c r="A21" s="20" t="s">
        <v>152</v>
      </c>
      <c r="B21" s="21" t="s">
        <v>822</v>
      </c>
      <c r="C21" s="28" t="s">
        <v>330</v>
      </c>
      <c r="D21" s="29" t="s">
        <v>823</v>
      </c>
      <c r="E21" s="40" t="s">
        <v>331</v>
      </c>
      <c r="F21" s="22">
        <v>56</v>
      </c>
      <c r="G21" s="22">
        <v>1000</v>
      </c>
      <c r="H21" s="23">
        <v>56</v>
      </c>
      <c r="I21" s="22">
        <f t="shared" si="1"/>
        <v>944</v>
      </c>
      <c r="J21" s="22" t="s">
        <v>23</v>
      </c>
      <c r="K21" s="24"/>
      <c r="L21" s="25"/>
    </row>
    <row r="22" spans="1:12" ht="15.75" x14ac:dyDescent="0.25">
      <c r="A22" s="20" t="s">
        <v>14</v>
      </c>
      <c r="B22" s="21" t="s">
        <v>867</v>
      </c>
      <c r="C22" s="28" t="s">
        <v>15</v>
      </c>
      <c r="D22" s="29" t="s">
        <v>18</v>
      </c>
      <c r="E22" s="40" t="s">
        <v>868</v>
      </c>
      <c r="F22" s="22">
        <v>2200</v>
      </c>
      <c r="G22" s="22">
        <v>2000</v>
      </c>
      <c r="H22" s="23">
        <v>2200</v>
      </c>
      <c r="I22" s="22">
        <f t="shared" si="1"/>
        <v>-200</v>
      </c>
      <c r="J22" s="22" t="s">
        <v>24</v>
      </c>
      <c r="K22" s="24"/>
      <c r="L22" s="25"/>
    </row>
    <row r="23" spans="1:12" ht="16.5" thickBot="1" x14ac:dyDescent="0.3">
      <c r="A23" s="30"/>
      <c r="B23" s="31"/>
      <c r="C23" s="32"/>
      <c r="D23" s="33"/>
      <c r="E23" s="41"/>
      <c r="F23" s="34"/>
      <c r="G23" s="34"/>
      <c r="H23" s="35"/>
      <c r="I23" s="34"/>
      <c r="J23" s="34" t="s">
        <v>64</v>
      </c>
      <c r="K23" s="36"/>
      <c r="L23" s="37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L52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874</v>
      </c>
      <c r="C4" s="26" t="s">
        <v>41</v>
      </c>
      <c r="D4" s="27" t="s">
        <v>818</v>
      </c>
      <c r="E4" s="39" t="s">
        <v>819</v>
      </c>
      <c r="F4" s="16">
        <v>37000</v>
      </c>
      <c r="G4" s="16">
        <v>100000</v>
      </c>
      <c r="H4" s="17">
        <v>63290</v>
      </c>
      <c r="I4" s="16">
        <f t="shared" ref="I4" si="0">G4-H4</f>
        <v>36710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830</v>
      </c>
      <c r="C5" s="28" t="s">
        <v>831</v>
      </c>
      <c r="D5" s="29" t="s">
        <v>73</v>
      </c>
      <c r="E5" s="40" t="s">
        <v>402</v>
      </c>
      <c r="F5" s="22">
        <v>1050</v>
      </c>
      <c r="G5" s="22">
        <v>2000</v>
      </c>
      <c r="H5" s="23">
        <f>750+1050</f>
        <v>1800</v>
      </c>
      <c r="I5" s="22">
        <f>G5-H5</f>
        <v>200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835</v>
      </c>
      <c r="C6" s="28" t="s">
        <v>70</v>
      </c>
      <c r="D6" s="29" t="s">
        <v>836</v>
      </c>
      <c r="E6" s="40" t="s">
        <v>222</v>
      </c>
      <c r="F6" s="22">
        <v>32000</v>
      </c>
      <c r="G6" s="22">
        <v>160000</v>
      </c>
      <c r="H6" s="23">
        <f>5850+40000+32000</f>
        <v>77850</v>
      </c>
      <c r="I6" s="22">
        <f>G6-H6</f>
        <v>82150</v>
      </c>
      <c r="J6" s="22" t="s">
        <v>16</v>
      </c>
      <c r="K6" s="24"/>
      <c r="L6" s="25"/>
    </row>
    <row r="7" spans="1:12" ht="15.75" x14ac:dyDescent="0.25">
      <c r="A7" s="20" t="s">
        <v>44</v>
      </c>
      <c r="B7" s="21" t="s">
        <v>734</v>
      </c>
      <c r="C7" s="28" t="s">
        <v>15</v>
      </c>
      <c r="D7" s="29" t="s">
        <v>47</v>
      </c>
      <c r="E7" s="40" t="s">
        <v>45</v>
      </c>
      <c r="F7" s="22">
        <v>67000</v>
      </c>
      <c r="G7" s="22">
        <v>500000</v>
      </c>
      <c r="H7" s="23">
        <v>312000</v>
      </c>
      <c r="I7" s="22">
        <f>G7-H7</f>
        <v>188000</v>
      </c>
      <c r="J7" s="22" t="s">
        <v>16</v>
      </c>
      <c r="K7" s="24"/>
      <c r="L7" s="25"/>
    </row>
    <row r="8" spans="1:12" ht="15.75" x14ac:dyDescent="0.25">
      <c r="A8" s="20" t="s">
        <v>231</v>
      </c>
      <c r="B8" s="21" t="s">
        <v>864</v>
      </c>
      <c r="C8" s="28" t="s">
        <v>865</v>
      </c>
      <c r="D8" s="29" t="s">
        <v>237</v>
      </c>
      <c r="E8" s="40" t="s">
        <v>866</v>
      </c>
      <c r="F8" s="22">
        <v>306.7</v>
      </c>
      <c r="G8" s="22">
        <v>500</v>
      </c>
      <c r="H8" s="23">
        <f>204.05+306.7</f>
        <v>510.75</v>
      </c>
      <c r="I8" s="22">
        <f t="shared" ref="I8" si="1">G8-H8</f>
        <v>-10.75</v>
      </c>
      <c r="J8" s="22" t="s">
        <v>24</v>
      </c>
      <c r="K8" s="24"/>
      <c r="L8" s="25"/>
    </row>
    <row r="9" spans="1:12" ht="15.75" x14ac:dyDescent="0.25">
      <c r="A9" s="20" t="s">
        <v>17</v>
      </c>
      <c r="B9" s="21" t="s">
        <v>869</v>
      </c>
      <c r="C9" s="28" t="s">
        <v>870</v>
      </c>
      <c r="D9" s="29" t="s">
        <v>18</v>
      </c>
      <c r="E9" s="40" t="s">
        <v>342</v>
      </c>
      <c r="F9" s="22">
        <f>130.4</f>
        <v>130.4</v>
      </c>
      <c r="G9" s="42">
        <v>200</v>
      </c>
      <c r="H9" s="23">
        <f>62.4+130.4</f>
        <v>192.8</v>
      </c>
      <c r="I9" s="22">
        <f t="shared" ref="I9:I10" si="2">G9-H9</f>
        <v>7.1999999999999886</v>
      </c>
      <c r="J9" s="22" t="s">
        <v>31</v>
      </c>
      <c r="K9" s="24"/>
      <c r="L9" s="25"/>
    </row>
    <row r="10" spans="1:12" ht="15.75" x14ac:dyDescent="0.25">
      <c r="A10" s="20" t="s">
        <v>30</v>
      </c>
      <c r="B10" s="21" t="s">
        <v>671</v>
      </c>
      <c r="C10" s="28" t="s">
        <v>875</v>
      </c>
      <c r="D10" s="29" t="s">
        <v>876</v>
      </c>
      <c r="E10" s="40" t="s">
        <v>674</v>
      </c>
      <c r="F10" s="22">
        <v>6000</v>
      </c>
      <c r="G10" s="42">
        <v>40000</v>
      </c>
      <c r="H10" s="23">
        <v>18000</v>
      </c>
      <c r="I10" s="22">
        <f t="shared" si="2"/>
        <v>22000</v>
      </c>
      <c r="J10" s="22" t="s">
        <v>16</v>
      </c>
      <c r="K10" s="24"/>
      <c r="L10" s="25"/>
    </row>
    <row r="11" spans="1:12" ht="15.75" x14ac:dyDescent="0.25">
      <c r="A11" s="20" t="s">
        <v>30</v>
      </c>
      <c r="B11" s="21" t="s">
        <v>878</v>
      </c>
      <c r="C11" s="28" t="s">
        <v>879</v>
      </c>
      <c r="D11" s="29" t="s">
        <v>880</v>
      </c>
      <c r="E11" s="40" t="s">
        <v>877</v>
      </c>
      <c r="F11" s="22">
        <v>6000</v>
      </c>
      <c r="G11" s="42">
        <v>20000</v>
      </c>
      <c r="H11" s="23">
        <v>6000</v>
      </c>
      <c r="I11" s="22">
        <f>G11-H11</f>
        <v>14000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734</v>
      </c>
      <c r="C12" s="28" t="s">
        <v>735</v>
      </c>
      <c r="D12" s="29" t="s">
        <v>65</v>
      </c>
      <c r="E12" s="40" t="s">
        <v>736</v>
      </c>
      <c r="F12" s="22">
        <v>365000</v>
      </c>
      <c r="G12" s="22">
        <v>1000000</v>
      </c>
      <c r="H12" s="23">
        <f>460000+80000+90000+40000+365000</f>
        <v>1035000</v>
      </c>
      <c r="I12" s="22">
        <f t="shared" ref="I12:I13" si="3">G12-H12</f>
        <v>-35000</v>
      </c>
      <c r="J12" s="22" t="s">
        <v>24</v>
      </c>
      <c r="K12" s="24"/>
      <c r="L12" s="25"/>
    </row>
    <row r="13" spans="1:12" ht="15.75" x14ac:dyDescent="0.25">
      <c r="A13" s="20" t="s">
        <v>152</v>
      </c>
      <c r="B13" s="21" t="s">
        <v>822</v>
      </c>
      <c r="C13" s="28" t="s">
        <v>330</v>
      </c>
      <c r="D13" s="29" t="s">
        <v>823</v>
      </c>
      <c r="E13" s="40" t="s">
        <v>331</v>
      </c>
      <c r="F13" s="22">
        <v>16</v>
      </c>
      <c r="G13" s="22">
        <v>1000</v>
      </c>
      <c r="H13" s="23">
        <f>56+16</f>
        <v>72</v>
      </c>
      <c r="I13" s="22">
        <f t="shared" si="3"/>
        <v>928</v>
      </c>
      <c r="J13" s="22" t="s">
        <v>23</v>
      </c>
      <c r="K13" s="24"/>
      <c r="L13" s="25"/>
    </row>
    <row r="14" spans="1:12" ht="15.75" x14ac:dyDescent="0.25">
      <c r="A14" s="20" t="s">
        <v>82</v>
      </c>
      <c r="B14" s="21" t="s">
        <v>790</v>
      </c>
      <c r="C14" s="28" t="s">
        <v>15</v>
      </c>
      <c r="D14" s="29" t="s">
        <v>374</v>
      </c>
      <c r="E14" s="40" t="s">
        <v>789</v>
      </c>
      <c r="F14" s="22">
        <v>115</v>
      </c>
      <c r="G14" s="22">
        <v>2000</v>
      </c>
      <c r="H14" s="23">
        <f>390+210+168.7+335+115</f>
        <v>1218.7</v>
      </c>
      <c r="I14" s="22">
        <f>G14-H14</f>
        <v>781.3</v>
      </c>
      <c r="J14" s="22" t="s">
        <v>16</v>
      </c>
      <c r="K14" s="24"/>
      <c r="L14" s="25"/>
    </row>
    <row r="15" spans="1:12" ht="16.5" thickBot="1" x14ac:dyDescent="0.3">
      <c r="A15" s="30"/>
      <c r="B15" s="31"/>
      <c r="C15" s="32"/>
      <c r="D15" s="33"/>
      <c r="E15" s="41"/>
      <c r="F15" s="34"/>
      <c r="G15" s="34"/>
      <c r="H15" s="35"/>
      <c r="I15" s="34"/>
      <c r="J15" s="34" t="s">
        <v>64</v>
      </c>
      <c r="K15" s="36"/>
      <c r="L15" s="37"/>
    </row>
    <row r="50" customFormat="1" x14ac:dyDescent="0.25"/>
    <row r="51" customFormat="1" x14ac:dyDescent="0.25"/>
    <row r="52" customFormat="1" x14ac:dyDescent="0.25"/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L61"/>
  <sheetViews>
    <sheetView workbookViewId="0">
      <pane xSplit="3" topLeftCell="D1" activePane="topRight" state="frozen"/>
      <selection pane="topRight" activeCell="A7" sqref="A7:XFD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874</v>
      </c>
      <c r="C4" s="26" t="s">
        <v>41</v>
      </c>
      <c r="D4" s="27" t="s">
        <v>818</v>
      </c>
      <c r="E4" s="39" t="s">
        <v>819</v>
      </c>
      <c r="F4" s="16">
        <v>12220</v>
      </c>
      <c r="G4" s="16">
        <v>100000</v>
      </c>
      <c r="H4" s="17">
        <f>63290+12220</f>
        <v>75510</v>
      </c>
      <c r="I4" s="16">
        <f t="shared" ref="I4" si="0">G4-H4</f>
        <v>24490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830</v>
      </c>
      <c r="C5" s="28" t="s">
        <v>831</v>
      </c>
      <c r="D5" s="29" t="s">
        <v>73</v>
      </c>
      <c r="E5" s="40" t="s">
        <v>402</v>
      </c>
      <c r="F5" s="22">
        <v>213</v>
      </c>
      <c r="G5" s="22">
        <v>2000</v>
      </c>
      <c r="H5" s="23">
        <f>750+1050+213</f>
        <v>2013</v>
      </c>
      <c r="I5" s="22">
        <f>G5-H5</f>
        <v>-13</v>
      </c>
      <c r="J5" s="22" t="s">
        <v>24</v>
      </c>
      <c r="K5" s="24"/>
      <c r="L5" s="25"/>
    </row>
    <row r="6" spans="1:12" ht="15.75" x14ac:dyDescent="0.25">
      <c r="A6" s="20" t="s">
        <v>14</v>
      </c>
      <c r="B6" s="21" t="s">
        <v>888</v>
      </c>
      <c r="C6" s="28" t="s">
        <v>15</v>
      </c>
      <c r="D6" s="29" t="s">
        <v>18</v>
      </c>
      <c r="E6" s="40" t="s">
        <v>889</v>
      </c>
      <c r="F6" s="22">
        <v>2300</v>
      </c>
      <c r="G6" s="22">
        <v>10000</v>
      </c>
      <c r="H6" s="23">
        <v>2300</v>
      </c>
      <c r="I6" s="22">
        <f>G6-H6</f>
        <v>7700</v>
      </c>
      <c r="J6" s="22" t="s">
        <v>16</v>
      </c>
      <c r="K6" s="24"/>
      <c r="L6" s="25"/>
    </row>
    <row r="7" spans="1:12" ht="15.75" x14ac:dyDescent="0.25">
      <c r="A7" s="20" t="s">
        <v>44</v>
      </c>
      <c r="B7" s="21" t="s">
        <v>444</v>
      </c>
      <c r="C7" s="28" t="s">
        <v>15</v>
      </c>
      <c r="D7" s="29" t="s">
        <v>47</v>
      </c>
      <c r="E7" s="40" t="s">
        <v>45</v>
      </c>
      <c r="F7" s="22">
        <v>38000</v>
      </c>
      <c r="G7" s="22">
        <v>500000</v>
      </c>
      <c r="H7" s="23">
        <f>312000+38000</f>
        <v>350000</v>
      </c>
      <c r="I7" s="22">
        <f>G7-H7</f>
        <v>150000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890</v>
      </c>
      <c r="C8" s="28" t="s">
        <v>891</v>
      </c>
      <c r="D8" s="29" t="s">
        <v>892</v>
      </c>
      <c r="E8" s="40" t="s">
        <v>893</v>
      </c>
      <c r="F8" s="22">
        <v>4000</v>
      </c>
      <c r="G8" s="22">
        <v>6900</v>
      </c>
      <c r="H8" s="23">
        <v>4000</v>
      </c>
      <c r="I8" s="22">
        <f t="shared" ref="I8:I19" si="1">G8-H8</f>
        <v>2900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377</v>
      </c>
      <c r="C9" s="28" t="s">
        <v>15</v>
      </c>
      <c r="D9" s="29" t="s">
        <v>18</v>
      </c>
      <c r="E9" s="40" t="s">
        <v>807</v>
      </c>
      <c r="F9" s="22">
        <v>1500</v>
      </c>
      <c r="G9" s="22">
        <v>10000</v>
      </c>
      <c r="H9" s="23">
        <v>1500</v>
      </c>
      <c r="I9" s="22">
        <f t="shared" ref="I9:I15" si="2">G9-H9</f>
        <v>8500</v>
      </c>
      <c r="J9" s="22" t="s">
        <v>16</v>
      </c>
      <c r="K9" s="24"/>
      <c r="L9" s="25"/>
    </row>
    <row r="10" spans="1:12" ht="15.75" x14ac:dyDescent="0.25">
      <c r="A10" s="20" t="s">
        <v>228</v>
      </c>
      <c r="B10" s="21" t="s">
        <v>639</v>
      </c>
      <c r="C10" s="28" t="s">
        <v>462</v>
      </c>
      <c r="D10" s="29" t="s">
        <v>18</v>
      </c>
      <c r="E10" s="40" t="s">
        <v>640</v>
      </c>
      <c r="F10" s="22">
        <v>48000</v>
      </c>
      <c r="G10" s="22">
        <v>100000</v>
      </c>
      <c r="H10" s="23">
        <v>48000</v>
      </c>
      <c r="I10" s="22">
        <f t="shared" si="2"/>
        <v>52000</v>
      </c>
      <c r="J10" s="22" t="s">
        <v>16</v>
      </c>
      <c r="K10" s="24"/>
      <c r="L10" s="25"/>
    </row>
    <row r="11" spans="1:12" ht="15.75" x14ac:dyDescent="0.25">
      <c r="A11" s="20" t="s">
        <v>30</v>
      </c>
      <c r="B11" s="21" t="s">
        <v>896</v>
      </c>
      <c r="C11" s="28" t="s">
        <v>422</v>
      </c>
      <c r="D11" s="29" t="s">
        <v>48</v>
      </c>
      <c r="E11" s="40" t="s">
        <v>897</v>
      </c>
      <c r="F11" s="22">
        <v>12000</v>
      </c>
      <c r="G11" s="22">
        <v>40000</v>
      </c>
      <c r="H11" s="23">
        <v>15000</v>
      </c>
      <c r="I11" s="22">
        <f t="shared" si="2"/>
        <v>25000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898</v>
      </c>
      <c r="C12" s="28" t="s">
        <v>15</v>
      </c>
      <c r="D12" s="29" t="s">
        <v>688</v>
      </c>
      <c r="E12" s="40" t="s">
        <v>689</v>
      </c>
      <c r="F12" s="22">
        <v>9000</v>
      </c>
      <c r="G12" s="22">
        <v>100000</v>
      </c>
      <c r="H12" s="23">
        <v>48000</v>
      </c>
      <c r="I12" s="22">
        <f t="shared" si="2"/>
        <v>52000</v>
      </c>
      <c r="J12" s="22" t="s">
        <v>16</v>
      </c>
      <c r="K12" s="24"/>
      <c r="L12" s="25"/>
    </row>
    <row r="13" spans="1:12" ht="15.75" x14ac:dyDescent="0.25">
      <c r="A13" s="20" t="s">
        <v>28</v>
      </c>
      <c r="B13" s="21" t="s">
        <v>899</v>
      </c>
      <c r="C13" s="28" t="s">
        <v>15</v>
      </c>
      <c r="D13" s="29" t="s">
        <v>18</v>
      </c>
      <c r="E13" s="40" t="s">
        <v>384</v>
      </c>
      <c r="F13" s="22">
        <v>16800</v>
      </c>
      <c r="G13" s="22">
        <v>105000</v>
      </c>
      <c r="H13" s="23">
        <v>20300</v>
      </c>
      <c r="I13" s="22">
        <f t="shared" si="2"/>
        <v>84700</v>
      </c>
      <c r="J13" s="22" t="s">
        <v>16</v>
      </c>
      <c r="K13" s="24"/>
      <c r="L13" s="25"/>
    </row>
    <row r="14" spans="1:12" ht="15.75" x14ac:dyDescent="0.25">
      <c r="A14" s="20" t="s">
        <v>231</v>
      </c>
      <c r="B14" s="21" t="s">
        <v>799</v>
      </c>
      <c r="C14" s="28" t="s">
        <v>800</v>
      </c>
      <c r="D14" s="29" t="s">
        <v>509</v>
      </c>
      <c r="E14" s="40" t="s">
        <v>510</v>
      </c>
      <c r="F14" s="22">
        <v>845.2</v>
      </c>
      <c r="G14" s="22">
        <v>3900</v>
      </c>
      <c r="H14" s="23">
        <f>421.4+1176.7+592.6+845.2</f>
        <v>3035.8999999999996</v>
      </c>
      <c r="I14" s="22">
        <f t="shared" si="2"/>
        <v>864.10000000000036</v>
      </c>
      <c r="J14" s="22" t="s">
        <v>16</v>
      </c>
      <c r="K14" s="24"/>
      <c r="L14" s="25"/>
    </row>
    <row r="15" spans="1:12" ht="15.75" x14ac:dyDescent="0.25">
      <c r="A15" s="20" t="s">
        <v>19</v>
      </c>
      <c r="B15" s="21" t="s">
        <v>900</v>
      </c>
      <c r="C15" s="28" t="s">
        <v>15</v>
      </c>
      <c r="D15" s="29" t="s">
        <v>688</v>
      </c>
      <c r="E15" s="40" t="s">
        <v>848</v>
      </c>
      <c r="F15" s="22">
        <v>9900</v>
      </c>
      <c r="G15" s="22">
        <v>10000</v>
      </c>
      <c r="H15" s="23">
        <v>9900</v>
      </c>
      <c r="I15" s="22">
        <f t="shared" si="2"/>
        <v>100</v>
      </c>
      <c r="J15" s="22" t="s">
        <v>31</v>
      </c>
      <c r="K15" s="24"/>
      <c r="L15" s="25"/>
    </row>
    <row r="16" spans="1:12" ht="15.75" x14ac:dyDescent="0.25">
      <c r="A16" s="20" t="s">
        <v>21</v>
      </c>
      <c r="B16" s="21" t="s">
        <v>837</v>
      </c>
      <c r="C16" s="28" t="s">
        <v>287</v>
      </c>
      <c r="D16" s="29" t="s">
        <v>42</v>
      </c>
      <c r="E16" s="40" t="s">
        <v>289</v>
      </c>
      <c r="F16" s="22">
        <v>700</v>
      </c>
      <c r="G16" s="22">
        <v>50000</v>
      </c>
      <c r="H16" s="23">
        <f>25730+700</f>
        <v>26430</v>
      </c>
      <c r="I16" s="22">
        <f t="shared" ref="I16" si="3">G16-H16</f>
        <v>23570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855</v>
      </c>
      <c r="C17" s="28" t="s">
        <v>857</v>
      </c>
      <c r="D17" s="29" t="s">
        <v>364</v>
      </c>
      <c r="E17" s="40" t="s">
        <v>365</v>
      </c>
      <c r="F17" s="22">
        <v>2765</v>
      </c>
      <c r="G17" s="22">
        <v>15000</v>
      </c>
      <c r="H17" s="23">
        <f>12000+2765</f>
        <v>14765</v>
      </c>
      <c r="I17" s="22">
        <f>G17-H17</f>
        <v>235</v>
      </c>
      <c r="J17" s="22" t="s">
        <v>16</v>
      </c>
      <c r="K17" s="24"/>
      <c r="L17" s="25"/>
    </row>
    <row r="18" spans="1:12" ht="15.75" x14ac:dyDescent="0.25">
      <c r="A18" s="20" t="s">
        <v>894</v>
      </c>
      <c r="B18" s="21" t="s">
        <v>895</v>
      </c>
      <c r="C18" s="28" t="s">
        <v>857</v>
      </c>
      <c r="D18" s="29" t="s">
        <v>42</v>
      </c>
      <c r="E18" s="40" t="s">
        <v>365</v>
      </c>
      <c r="F18" s="22">
        <v>5000</v>
      </c>
      <c r="G18" s="42">
        <v>5000</v>
      </c>
      <c r="H18" s="23">
        <v>5000</v>
      </c>
      <c r="I18" s="22">
        <f t="shared" si="1"/>
        <v>0</v>
      </c>
      <c r="J18" s="22" t="s">
        <v>23</v>
      </c>
      <c r="K18" s="24"/>
      <c r="L18" s="25"/>
    </row>
    <row r="19" spans="1:12" ht="15.75" x14ac:dyDescent="0.25">
      <c r="A19" s="20" t="s">
        <v>17</v>
      </c>
      <c r="B19" s="21" t="s">
        <v>886</v>
      </c>
      <c r="C19" s="28" t="s">
        <v>831</v>
      </c>
      <c r="D19" s="29" t="s">
        <v>18</v>
      </c>
      <c r="E19" s="40" t="s">
        <v>887</v>
      </c>
      <c r="F19" s="22">
        <v>1245</v>
      </c>
      <c r="G19" s="42">
        <v>1280</v>
      </c>
      <c r="H19" s="23">
        <v>1245</v>
      </c>
      <c r="I19" s="22">
        <f t="shared" si="1"/>
        <v>35</v>
      </c>
      <c r="J19" s="22" t="s">
        <v>31</v>
      </c>
      <c r="K19" s="24"/>
      <c r="L19" s="25"/>
    </row>
    <row r="20" spans="1:12" ht="15.75" x14ac:dyDescent="0.25">
      <c r="A20" s="20" t="s">
        <v>17</v>
      </c>
      <c r="B20" s="21" t="s">
        <v>734</v>
      </c>
      <c r="C20" s="28" t="s">
        <v>884</v>
      </c>
      <c r="D20" s="29" t="s">
        <v>826</v>
      </c>
      <c r="E20" s="40" t="s">
        <v>885</v>
      </c>
      <c r="F20" s="22">
        <v>150</v>
      </c>
      <c r="G20" s="42">
        <v>2000</v>
      </c>
      <c r="H20" s="23">
        <v>150</v>
      </c>
      <c r="I20" s="22">
        <f>G20-H20</f>
        <v>1850</v>
      </c>
      <c r="J20" s="22" t="s">
        <v>16</v>
      </c>
      <c r="K20" s="24"/>
      <c r="L20" s="25"/>
    </row>
    <row r="21" spans="1:12" ht="15.75" x14ac:dyDescent="0.25">
      <c r="A21" s="20" t="s">
        <v>21</v>
      </c>
      <c r="B21" s="21" t="s">
        <v>882</v>
      </c>
      <c r="C21" s="28" t="s">
        <v>883</v>
      </c>
      <c r="D21" s="29" t="s">
        <v>27</v>
      </c>
      <c r="E21" s="40" t="s">
        <v>179</v>
      </c>
      <c r="F21" s="22">
        <v>7000</v>
      </c>
      <c r="G21" s="22">
        <v>50000</v>
      </c>
      <c r="H21" s="23">
        <v>7000</v>
      </c>
      <c r="I21" s="22">
        <f t="shared" ref="I21:I22" si="4">G21-H21</f>
        <v>43000</v>
      </c>
      <c r="J21" s="22" t="s">
        <v>16</v>
      </c>
      <c r="K21" s="24"/>
      <c r="L21" s="25"/>
    </row>
    <row r="22" spans="1:12" ht="15.75" x14ac:dyDescent="0.25">
      <c r="A22" s="20" t="s">
        <v>21</v>
      </c>
      <c r="B22" s="21" t="s">
        <v>820</v>
      </c>
      <c r="C22" s="28" t="s">
        <v>41</v>
      </c>
      <c r="D22" s="29" t="s">
        <v>881</v>
      </c>
      <c r="E22" s="40" t="s">
        <v>819</v>
      </c>
      <c r="F22" s="22">
        <v>6900</v>
      </c>
      <c r="G22" s="22">
        <v>20000</v>
      </c>
      <c r="H22" s="23">
        <v>13400</v>
      </c>
      <c r="I22" s="22">
        <f t="shared" si="4"/>
        <v>6600</v>
      </c>
      <c r="J22" s="22" t="s">
        <v>16</v>
      </c>
      <c r="K22" s="24"/>
      <c r="L22" s="25"/>
    </row>
    <row r="23" spans="1:12" ht="15.75" x14ac:dyDescent="0.25">
      <c r="A23" s="20" t="s">
        <v>82</v>
      </c>
      <c r="B23" s="21" t="s">
        <v>790</v>
      </c>
      <c r="C23" s="28" t="s">
        <v>15</v>
      </c>
      <c r="D23" s="29" t="s">
        <v>374</v>
      </c>
      <c r="E23" s="40" t="s">
        <v>789</v>
      </c>
      <c r="F23" s="22">
        <v>150</v>
      </c>
      <c r="G23" s="22">
        <v>2000</v>
      </c>
      <c r="H23" s="23">
        <f>390+210+168.7+335+115+150</f>
        <v>1368.7</v>
      </c>
      <c r="I23" s="22">
        <f>G23-H23</f>
        <v>631.29999999999995</v>
      </c>
      <c r="J23" s="22" t="s">
        <v>16</v>
      </c>
      <c r="K23" s="24"/>
      <c r="L23" s="25"/>
    </row>
    <row r="24" spans="1:12" ht="15.75" x14ac:dyDescent="0.25">
      <c r="A24" s="43" t="s">
        <v>809</v>
      </c>
      <c r="B24" s="44" t="s">
        <v>901</v>
      </c>
      <c r="C24" s="45" t="s">
        <v>902</v>
      </c>
      <c r="D24" s="46" t="s">
        <v>903</v>
      </c>
      <c r="E24" s="47" t="s">
        <v>904</v>
      </c>
      <c r="F24" s="48">
        <v>152.94999999999999</v>
      </c>
      <c r="G24" s="48">
        <v>150</v>
      </c>
      <c r="H24" s="49">
        <v>152.94999999999999</v>
      </c>
      <c r="I24" s="48">
        <f>G24-H24</f>
        <v>-2.9499999999999886</v>
      </c>
      <c r="J24" s="48" t="s">
        <v>23</v>
      </c>
      <c r="K24" s="50"/>
      <c r="L24" s="51"/>
    </row>
    <row r="25" spans="1:12" s="61" customFormat="1" ht="15.75" x14ac:dyDescent="0.25">
      <c r="A25" s="52" t="s">
        <v>809</v>
      </c>
      <c r="B25" s="53" t="s">
        <v>905</v>
      </c>
      <c r="C25" s="54" t="s">
        <v>902</v>
      </c>
      <c r="D25" s="55" t="s">
        <v>903</v>
      </c>
      <c r="E25" s="56" t="s">
        <v>906</v>
      </c>
      <c r="F25" s="57">
        <v>103.75</v>
      </c>
      <c r="G25" s="57">
        <v>100</v>
      </c>
      <c r="H25" s="58">
        <v>103.75</v>
      </c>
      <c r="I25" s="57">
        <f>G25-H25</f>
        <v>-3.75</v>
      </c>
      <c r="J25" s="57" t="s">
        <v>23</v>
      </c>
      <c r="K25" s="59"/>
      <c r="L25" s="60"/>
    </row>
    <row r="26" spans="1:12" ht="16.5" thickBot="1" x14ac:dyDescent="0.3">
      <c r="A26" s="30"/>
      <c r="B26" s="31"/>
      <c r="C26" s="32"/>
      <c r="D26" s="33"/>
      <c r="E26" s="41"/>
      <c r="F26" s="34"/>
      <c r="G26" s="34"/>
      <c r="H26" s="35"/>
      <c r="I26" s="34"/>
      <c r="J26" s="34" t="s">
        <v>64</v>
      </c>
      <c r="K26" s="36"/>
      <c r="L26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3"/>
  <sheetViews>
    <sheetView workbookViewId="0">
      <pane xSplit="3" topLeftCell="E1" activePane="topRight" state="frozen"/>
      <selection pane="topRight" activeCell="C31" sqref="C3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1" spans="1:12" x14ac:dyDescent="0.25">
      <c r="A1" t="s">
        <v>931</v>
      </c>
    </row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555</v>
      </c>
      <c r="C4" s="26" t="s">
        <v>923</v>
      </c>
      <c r="D4" s="27" t="s">
        <v>18</v>
      </c>
      <c r="E4" s="39" t="s">
        <v>924</v>
      </c>
      <c r="F4" s="16">
        <v>6280</v>
      </c>
      <c r="G4" s="16">
        <v>30000</v>
      </c>
      <c r="H4" s="17">
        <v>12400</v>
      </c>
      <c r="I4" s="16">
        <f t="shared" ref="I4" si="0">G4-H4</f>
        <v>17600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928</v>
      </c>
      <c r="C5" s="28" t="s">
        <v>929</v>
      </c>
      <c r="D5" s="29" t="s">
        <v>225</v>
      </c>
      <c r="E5" s="40" t="s">
        <v>38</v>
      </c>
      <c r="F5" s="22">
        <f>374.8+120.2</f>
        <v>495</v>
      </c>
      <c r="G5" s="22">
        <v>1000</v>
      </c>
      <c r="H5" s="23">
        <v>495</v>
      </c>
      <c r="I5" s="22">
        <f>G5-H5</f>
        <v>505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930</v>
      </c>
      <c r="C6" s="28" t="s">
        <v>15</v>
      </c>
      <c r="D6" s="29" t="s">
        <v>53</v>
      </c>
      <c r="E6" s="40" t="s">
        <v>55</v>
      </c>
      <c r="F6" s="22">
        <v>8000</v>
      </c>
      <c r="G6" s="22">
        <v>100000</v>
      </c>
      <c r="H6" s="23">
        <v>8000</v>
      </c>
      <c r="I6" s="22">
        <f>G6-H6</f>
        <v>92000</v>
      </c>
      <c r="J6" s="22" t="s">
        <v>16</v>
      </c>
      <c r="K6" s="24"/>
      <c r="L6" s="25"/>
    </row>
    <row r="7" spans="1:12" ht="15.75" x14ac:dyDescent="0.25">
      <c r="A7" s="20" t="s">
        <v>14</v>
      </c>
      <c r="B7" s="21" t="s">
        <v>890</v>
      </c>
      <c r="C7" s="28" t="s">
        <v>891</v>
      </c>
      <c r="D7" s="29" t="s">
        <v>892</v>
      </c>
      <c r="E7" s="40" t="s">
        <v>893</v>
      </c>
      <c r="F7" s="22">
        <v>2885</v>
      </c>
      <c r="G7" s="22">
        <v>6900</v>
      </c>
      <c r="H7" s="23">
        <f>4000+2885</f>
        <v>6885</v>
      </c>
      <c r="I7" s="22">
        <f t="shared" ref="I7:I15" si="1">G7-H7</f>
        <v>15</v>
      </c>
      <c r="J7" s="22" t="s">
        <v>31</v>
      </c>
      <c r="K7" s="24"/>
      <c r="L7" s="25"/>
    </row>
    <row r="8" spans="1:12" ht="15.75" x14ac:dyDescent="0.25">
      <c r="A8" s="20" t="s">
        <v>228</v>
      </c>
      <c r="B8" s="21" t="s">
        <v>403</v>
      </c>
      <c r="C8" s="28" t="s">
        <v>922</v>
      </c>
      <c r="D8" s="29" t="s">
        <v>27</v>
      </c>
      <c r="E8" s="40" t="s">
        <v>405</v>
      </c>
      <c r="F8" s="22">
        <v>36000</v>
      </c>
      <c r="G8" s="22">
        <v>1000000</v>
      </c>
      <c r="H8" s="23">
        <v>96000</v>
      </c>
      <c r="I8" s="22">
        <f t="shared" si="1"/>
        <v>904000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639</v>
      </c>
      <c r="C9" s="28" t="s">
        <v>462</v>
      </c>
      <c r="D9" s="29" t="s">
        <v>18</v>
      </c>
      <c r="E9" s="40" t="s">
        <v>640</v>
      </c>
      <c r="F9" s="22">
        <v>10400</v>
      </c>
      <c r="G9" s="22">
        <v>100000</v>
      </c>
      <c r="H9" s="23">
        <f>48000+10400</f>
        <v>58400</v>
      </c>
      <c r="I9" s="22">
        <f t="shared" si="1"/>
        <v>41600</v>
      </c>
      <c r="J9" s="22" t="s">
        <v>16</v>
      </c>
      <c r="K9" s="24"/>
      <c r="L9" s="25"/>
    </row>
    <row r="10" spans="1:12" ht="15.75" x14ac:dyDescent="0.25">
      <c r="A10" s="20" t="s">
        <v>30</v>
      </c>
      <c r="B10" s="21" t="s">
        <v>896</v>
      </c>
      <c r="C10" s="28" t="s">
        <v>422</v>
      </c>
      <c r="D10" s="29" t="s">
        <v>48</v>
      </c>
      <c r="E10" s="40" t="s">
        <v>897</v>
      </c>
      <c r="F10" s="22">
        <v>13800</v>
      </c>
      <c r="G10" s="22">
        <v>40000</v>
      </c>
      <c r="H10" s="23">
        <f>15000+13800</f>
        <v>28800</v>
      </c>
      <c r="I10" s="22">
        <f t="shared" si="1"/>
        <v>11200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734</v>
      </c>
      <c r="C11" s="28" t="s">
        <v>15</v>
      </c>
      <c r="D11" s="29" t="s">
        <v>344</v>
      </c>
      <c r="E11" s="40" t="s">
        <v>921</v>
      </c>
      <c r="F11" s="22">
        <v>550</v>
      </c>
      <c r="G11" s="22">
        <v>5000</v>
      </c>
      <c r="H11" s="23">
        <v>550</v>
      </c>
      <c r="I11" s="22">
        <f t="shared" si="1"/>
        <v>4450</v>
      </c>
      <c r="J11" s="22" t="s">
        <v>16</v>
      </c>
      <c r="K11" s="24"/>
      <c r="L11" s="25"/>
    </row>
    <row r="12" spans="1:12" ht="15.75" x14ac:dyDescent="0.25">
      <c r="A12" s="20" t="s">
        <v>28</v>
      </c>
      <c r="B12" s="21" t="s">
        <v>899</v>
      </c>
      <c r="C12" s="28" t="s">
        <v>15</v>
      </c>
      <c r="D12" s="29" t="s">
        <v>18</v>
      </c>
      <c r="E12" s="40" t="s">
        <v>384</v>
      </c>
      <c r="F12" s="22">
        <v>22400</v>
      </c>
      <c r="G12" s="22">
        <v>105000</v>
      </c>
      <c r="H12" s="23">
        <f>20300+22400</f>
        <v>42700</v>
      </c>
      <c r="I12" s="22">
        <f t="shared" si="1"/>
        <v>62300</v>
      </c>
      <c r="J12" s="22" t="s">
        <v>16</v>
      </c>
      <c r="K12" s="24"/>
      <c r="L12" s="25"/>
    </row>
    <row r="13" spans="1:12" ht="15.75" x14ac:dyDescent="0.25">
      <c r="A13" s="20" t="s">
        <v>231</v>
      </c>
      <c r="B13" s="21" t="s">
        <v>799</v>
      </c>
      <c r="C13" s="28" t="s">
        <v>800</v>
      </c>
      <c r="D13" s="29" t="s">
        <v>509</v>
      </c>
      <c r="E13" s="40" t="s">
        <v>510</v>
      </c>
      <c r="F13" s="22">
        <v>889.7</v>
      </c>
      <c r="G13" s="22">
        <v>3900</v>
      </c>
      <c r="H13" s="23">
        <f>421.4+1176.7+592.6+845.2+889.7</f>
        <v>3925.5999999999995</v>
      </c>
      <c r="I13" s="22">
        <f t="shared" si="1"/>
        <v>-25.599999999999454</v>
      </c>
      <c r="J13" s="22" t="s">
        <v>24</v>
      </c>
      <c r="K13" s="24"/>
      <c r="L13" s="25"/>
    </row>
    <row r="14" spans="1:12" ht="15.75" x14ac:dyDescent="0.25">
      <c r="A14" s="20" t="s">
        <v>244</v>
      </c>
      <c r="B14" s="21" t="s">
        <v>918</v>
      </c>
      <c r="C14" s="28" t="s">
        <v>919</v>
      </c>
      <c r="D14" s="29" t="s">
        <v>551</v>
      </c>
      <c r="E14" s="40" t="s">
        <v>920</v>
      </c>
      <c r="F14" s="22">
        <v>1</v>
      </c>
      <c r="G14" s="22">
        <v>1</v>
      </c>
      <c r="H14" s="23">
        <v>1</v>
      </c>
      <c r="I14" s="22">
        <f t="shared" si="1"/>
        <v>0</v>
      </c>
      <c r="J14" s="22" t="s">
        <v>23</v>
      </c>
      <c r="K14" s="24"/>
      <c r="L14" s="25"/>
    </row>
    <row r="15" spans="1:12" ht="15.75" x14ac:dyDescent="0.25">
      <c r="A15" s="20" t="s">
        <v>21</v>
      </c>
      <c r="B15" s="21" t="s">
        <v>837</v>
      </c>
      <c r="C15" s="28" t="s">
        <v>287</v>
      </c>
      <c r="D15" s="29" t="s">
        <v>42</v>
      </c>
      <c r="E15" s="40" t="s">
        <v>289</v>
      </c>
      <c r="F15" s="22">
        <v>14260</v>
      </c>
      <c r="G15" s="22">
        <v>50000</v>
      </c>
      <c r="H15" s="23">
        <f>25730+700+14260</f>
        <v>40690</v>
      </c>
      <c r="I15" s="22">
        <f t="shared" si="1"/>
        <v>9310</v>
      </c>
      <c r="J15" s="22" t="s">
        <v>16</v>
      </c>
      <c r="K15" s="24"/>
      <c r="L15" s="25"/>
    </row>
    <row r="16" spans="1:12" ht="15.75" x14ac:dyDescent="0.25">
      <c r="A16" s="20" t="s">
        <v>244</v>
      </c>
      <c r="B16" s="21" t="s">
        <v>925</v>
      </c>
      <c r="C16" s="28" t="s">
        <v>926</v>
      </c>
      <c r="D16" s="29" t="s">
        <v>237</v>
      </c>
      <c r="E16" s="40" t="s">
        <v>927</v>
      </c>
      <c r="F16" s="22">
        <v>1</v>
      </c>
      <c r="G16" s="22">
        <v>1</v>
      </c>
      <c r="H16" s="23">
        <v>1</v>
      </c>
      <c r="I16" s="22">
        <f>G16-H16</f>
        <v>0</v>
      </c>
      <c r="J16" s="22" t="s">
        <v>23</v>
      </c>
      <c r="K16" s="24"/>
      <c r="L16" s="25"/>
    </row>
    <row r="17" spans="1:12" ht="15.75" x14ac:dyDescent="0.25">
      <c r="A17" s="20" t="s">
        <v>17</v>
      </c>
      <c r="B17" s="21" t="s">
        <v>734</v>
      </c>
      <c r="C17" s="28" t="s">
        <v>884</v>
      </c>
      <c r="D17" s="29" t="s">
        <v>826</v>
      </c>
      <c r="E17" s="40" t="s">
        <v>885</v>
      </c>
      <c r="F17" s="22">
        <f>1225+525</f>
        <v>1750</v>
      </c>
      <c r="G17" s="42">
        <v>2000</v>
      </c>
      <c r="H17" s="23">
        <f>150+1750</f>
        <v>1900</v>
      </c>
      <c r="I17" s="22">
        <f>G17-H17</f>
        <v>100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882</v>
      </c>
      <c r="C18" s="28" t="s">
        <v>883</v>
      </c>
      <c r="D18" s="29" t="s">
        <v>27</v>
      </c>
      <c r="E18" s="40" t="s">
        <v>179</v>
      </c>
      <c r="F18" s="22">
        <v>16850</v>
      </c>
      <c r="G18" s="22">
        <v>50000</v>
      </c>
      <c r="H18" s="23">
        <f>7000+16850</f>
        <v>23850</v>
      </c>
      <c r="I18" s="22">
        <f t="shared" ref="I18:I19" si="2">G18-H18</f>
        <v>26150</v>
      </c>
      <c r="J18" s="22" t="s">
        <v>16</v>
      </c>
      <c r="K18" s="24"/>
      <c r="L18" s="25"/>
    </row>
    <row r="19" spans="1:12" ht="15.75" x14ac:dyDescent="0.25">
      <c r="A19" s="20" t="s">
        <v>17</v>
      </c>
      <c r="B19" s="21" t="s">
        <v>915</v>
      </c>
      <c r="C19" s="28" t="s">
        <v>916</v>
      </c>
      <c r="D19" s="29" t="s">
        <v>18</v>
      </c>
      <c r="E19" s="40" t="s">
        <v>917</v>
      </c>
      <c r="F19" s="22">
        <v>500</v>
      </c>
      <c r="G19" s="22">
        <v>500</v>
      </c>
      <c r="H19" s="23">
        <v>500</v>
      </c>
      <c r="I19" s="22">
        <f t="shared" si="2"/>
        <v>0</v>
      </c>
      <c r="J19" s="22" t="s">
        <v>23</v>
      </c>
      <c r="K19" s="24"/>
      <c r="L19" s="25"/>
    </row>
    <row r="20" spans="1:12" ht="15.75" x14ac:dyDescent="0.25">
      <c r="A20" s="20" t="s">
        <v>14</v>
      </c>
      <c r="B20" s="21" t="s">
        <v>721</v>
      </c>
      <c r="C20" s="28" t="s">
        <v>913</v>
      </c>
      <c r="D20" s="29" t="s">
        <v>18</v>
      </c>
      <c r="E20" s="40" t="s">
        <v>914</v>
      </c>
      <c r="F20" s="22">
        <v>1385</v>
      </c>
      <c r="G20" s="22">
        <v>1500</v>
      </c>
      <c r="H20" s="23">
        <v>1385</v>
      </c>
      <c r="I20" s="22">
        <f>G20-H20</f>
        <v>115</v>
      </c>
      <c r="J20" s="22" t="s">
        <v>31</v>
      </c>
      <c r="K20" s="24"/>
      <c r="L20" s="25"/>
    </row>
    <row r="21" spans="1:12" ht="15.75" x14ac:dyDescent="0.25">
      <c r="A21" s="43" t="s">
        <v>231</v>
      </c>
      <c r="B21" s="44" t="s">
        <v>910</v>
      </c>
      <c r="C21" s="45" t="s">
        <v>911</v>
      </c>
      <c r="D21" s="46" t="s">
        <v>240</v>
      </c>
      <c r="E21" s="47" t="s">
        <v>912</v>
      </c>
      <c r="F21" s="48">
        <v>250.3</v>
      </c>
      <c r="G21" s="48">
        <v>1000</v>
      </c>
      <c r="H21" s="49">
        <v>250.3</v>
      </c>
      <c r="I21" s="48">
        <f>G21-H21</f>
        <v>749.7</v>
      </c>
      <c r="J21" s="48" t="s">
        <v>16</v>
      </c>
      <c r="K21" s="50"/>
      <c r="L21" s="51"/>
    </row>
    <row r="22" spans="1:12" s="61" customFormat="1" ht="15.75" x14ac:dyDescent="0.25">
      <c r="A22" s="52" t="s">
        <v>22</v>
      </c>
      <c r="B22" s="53" t="s">
        <v>907</v>
      </c>
      <c r="C22" s="54" t="s">
        <v>908</v>
      </c>
      <c r="D22" s="55" t="s">
        <v>909</v>
      </c>
      <c r="E22" s="56" t="s">
        <v>90</v>
      </c>
      <c r="F22" s="57">
        <v>163.6</v>
      </c>
      <c r="G22" s="57">
        <v>1000</v>
      </c>
      <c r="H22" s="58">
        <v>163.6</v>
      </c>
      <c r="I22" s="57">
        <f>G22-H22</f>
        <v>836.4</v>
      </c>
      <c r="J22" s="57" t="s">
        <v>16</v>
      </c>
      <c r="K22" s="59"/>
      <c r="L22" s="60"/>
    </row>
    <row r="23" spans="1:12" ht="16.5" thickBot="1" x14ac:dyDescent="0.3">
      <c r="A23" s="30"/>
      <c r="B23" s="31"/>
      <c r="C23" s="32"/>
      <c r="D23" s="33"/>
      <c r="E23" s="41"/>
      <c r="F23" s="34"/>
      <c r="G23" s="34"/>
      <c r="H23" s="35"/>
      <c r="I23" s="34"/>
      <c r="J23" s="34" t="s">
        <v>64</v>
      </c>
      <c r="K23" s="36"/>
      <c r="L23" s="37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L39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19</v>
      </c>
      <c r="B4" s="15" t="s">
        <v>555</v>
      </c>
      <c r="C4" s="26" t="s">
        <v>923</v>
      </c>
      <c r="D4" s="27" t="s">
        <v>18</v>
      </c>
      <c r="E4" s="39" t="s">
        <v>924</v>
      </c>
      <c r="F4" s="16">
        <v>6410</v>
      </c>
      <c r="G4" s="16">
        <v>30000</v>
      </c>
      <c r="H4" s="17">
        <f>12400+6410</f>
        <v>18810</v>
      </c>
      <c r="I4" s="16">
        <f t="shared" ref="I4" si="0">G4-H4</f>
        <v>11190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928</v>
      </c>
      <c r="C5" s="28" t="s">
        <v>929</v>
      </c>
      <c r="D5" s="29" t="s">
        <v>225</v>
      </c>
      <c r="E5" s="40" t="s">
        <v>38</v>
      </c>
      <c r="F5" s="22">
        <v>143.80000000000001</v>
      </c>
      <c r="G5" s="22">
        <v>1000</v>
      </c>
      <c r="H5" s="23">
        <f>495+143.8</f>
        <v>638.79999999999995</v>
      </c>
      <c r="I5" s="22">
        <f>G5-H5</f>
        <v>361.20000000000005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930</v>
      </c>
      <c r="C6" s="28" t="s">
        <v>15</v>
      </c>
      <c r="D6" s="29" t="s">
        <v>53</v>
      </c>
      <c r="E6" s="40" t="s">
        <v>55</v>
      </c>
      <c r="F6" s="22">
        <v>7000</v>
      </c>
      <c r="G6" s="22">
        <v>100000</v>
      </c>
      <c r="H6" s="23">
        <f>8000+7000</f>
        <v>15000</v>
      </c>
      <c r="I6" s="22">
        <f>G6-H6</f>
        <v>85000</v>
      </c>
      <c r="J6" s="22" t="s">
        <v>16</v>
      </c>
      <c r="K6" s="24"/>
      <c r="L6" s="25"/>
    </row>
    <row r="7" spans="1:12" ht="15.75" x14ac:dyDescent="0.25">
      <c r="A7" s="20" t="s">
        <v>51</v>
      </c>
      <c r="B7" s="21" t="s">
        <v>939</v>
      </c>
      <c r="C7" s="28" t="s">
        <v>204</v>
      </c>
      <c r="D7" s="29" t="s">
        <v>43</v>
      </c>
      <c r="E7" s="40" t="s">
        <v>206</v>
      </c>
      <c r="F7" s="22">
        <v>503.8</v>
      </c>
      <c r="G7" s="22">
        <v>3000</v>
      </c>
      <c r="H7" s="23">
        <v>503.8</v>
      </c>
      <c r="I7" s="22">
        <f t="shared" ref="I7:I17" si="1">G7-H7</f>
        <v>2496.1999999999998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403</v>
      </c>
      <c r="C8" s="28" t="s">
        <v>922</v>
      </c>
      <c r="D8" s="29" t="s">
        <v>27</v>
      </c>
      <c r="E8" s="40" t="s">
        <v>405</v>
      </c>
      <c r="F8" s="22">
        <v>42000</v>
      </c>
      <c r="G8" s="22">
        <v>1000000</v>
      </c>
      <c r="H8" s="23">
        <f>96000+42000</f>
        <v>138000</v>
      </c>
      <c r="I8" s="22">
        <f t="shared" si="1"/>
        <v>862000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734</v>
      </c>
      <c r="C9" s="28" t="s">
        <v>15</v>
      </c>
      <c r="D9" s="29" t="s">
        <v>65</v>
      </c>
      <c r="E9" s="40" t="s">
        <v>940</v>
      </c>
      <c r="F9" s="22">
        <v>80000</v>
      </c>
      <c r="G9" s="22">
        <v>100000</v>
      </c>
      <c r="H9" s="23">
        <v>80000</v>
      </c>
      <c r="I9" s="22">
        <f t="shared" si="1"/>
        <v>20000</v>
      </c>
      <c r="J9" s="22" t="s">
        <v>16</v>
      </c>
      <c r="K9" s="24"/>
      <c r="L9" s="25"/>
    </row>
    <row r="10" spans="1:12" ht="15.75" x14ac:dyDescent="0.25">
      <c r="A10" s="20" t="s">
        <v>17</v>
      </c>
      <c r="B10" s="21" t="s">
        <v>941</v>
      </c>
      <c r="C10" s="28" t="s">
        <v>942</v>
      </c>
      <c r="D10" s="29" t="s">
        <v>18</v>
      </c>
      <c r="E10" s="40" t="s">
        <v>943</v>
      </c>
      <c r="F10" s="22">
        <v>550</v>
      </c>
      <c r="G10" s="22">
        <v>5000</v>
      </c>
      <c r="H10" s="23">
        <v>550</v>
      </c>
      <c r="I10" s="22">
        <f t="shared" si="1"/>
        <v>4450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932</v>
      </c>
      <c r="C11" s="28" t="s">
        <v>15</v>
      </c>
      <c r="D11" s="29" t="s">
        <v>344</v>
      </c>
      <c r="E11" s="40" t="s">
        <v>921</v>
      </c>
      <c r="F11" s="22">
        <f>1595+2400</f>
        <v>3995</v>
      </c>
      <c r="G11" s="22">
        <v>5000</v>
      </c>
      <c r="H11" s="23">
        <f>550+3995</f>
        <v>4545</v>
      </c>
      <c r="I11" s="22">
        <f t="shared" si="1"/>
        <v>455</v>
      </c>
      <c r="J11" s="22" t="s">
        <v>16</v>
      </c>
      <c r="K11" s="24"/>
      <c r="L11" s="25"/>
    </row>
    <row r="12" spans="1:12" ht="15.75" x14ac:dyDescent="0.25">
      <c r="A12" s="20" t="s">
        <v>28</v>
      </c>
      <c r="B12" s="21" t="s">
        <v>899</v>
      </c>
      <c r="C12" s="28" t="s">
        <v>15</v>
      </c>
      <c r="D12" s="29" t="s">
        <v>18</v>
      </c>
      <c r="E12" s="40" t="s">
        <v>384</v>
      </c>
      <c r="F12" s="22">
        <v>22400</v>
      </c>
      <c r="G12" s="22">
        <v>105000</v>
      </c>
      <c r="H12" s="23">
        <f>20300+22400+22400</f>
        <v>65100</v>
      </c>
      <c r="I12" s="22">
        <f t="shared" si="1"/>
        <v>39900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944</v>
      </c>
      <c r="C13" s="28" t="s">
        <v>15</v>
      </c>
      <c r="D13" s="29" t="s">
        <v>344</v>
      </c>
      <c r="E13" s="40" t="s">
        <v>345</v>
      </c>
      <c r="F13" s="22">
        <v>12000</v>
      </c>
      <c r="G13" s="22">
        <v>100000</v>
      </c>
      <c r="H13" s="23">
        <v>12000</v>
      </c>
      <c r="I13" s="22">
        <f t="shared" si="1"/>
        <v>88000</v>
      </c>
      <c r="J13" s="22" t="s">
        <v>16</v>
      </c>
      <c r="K13" s="24"/>
      <c r="L13" s="25"/>
    </row>
    <row r="14" spans="1:12" ht="15.75" x14ac:dyDescent="0.25">
      <c r="A14" s="20" t="s">
        <v>82</v>
      </c>
      <c r="B14" s="21" t="s">
        <v>790</v>
      </c>
      <c r="C14" s="28" t="s">
        <v>15</v>
      </c>
      <c r="D14" s="29" t="s">
        <v>374</v>
      </c>
      <c r="E14" s="40" t="s">
        <v>789</v>
      </c>
      <c r="F14" s="22">
        <v>385</v>
      </c>
      <c r="G14" s="22">
        <v>2000</v>
      </c>
      <c r="H14" s="23">
        <f>390+210+168.7+335+115+150+385</f>
        <v>1753.7</v>
      </c>
      <c r="I14" s="22">
        <f>G14-H14</f>
        <v>246.29999999999995</v>
      </c>
      <c r="J14" s="22" t="s">
        <v>16</v>
      </c>
      <c r="K14" s="24"/>
      <c r="L14" s="25"/>
    </row>
    <row r="15" spans="1:12" ht="15.75" x14ac:dyDescent="0.25">
      <c r="A15" s="20" t="s">
        <v>44</v>
      </c>
      <c r="B15" s="21" t="s">
        <v>444</v>
      </c>
      <c r="C15" s="28" t="s">
        <v>15</v>
      </c>
      <c r="D15" s="29" t="s">
        <v>47</v>
      </c>
      <c r="E15" s="40" t="s">
        <v>45</v>
      </c>
      <c r="F15" s="22">
        <v>32000</v>
      </c>
      <c r="G15" s="22">
        <v>500000</v>
      </c>
      <c r="H15" s="23">
        <f>312000+38000+32000</f>
        <v>382000</v>
      </c>
      <c r="I15" s="22">
        <f>G15-H15</f>
        <v>118000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945</v>
      </c>
      <c r="C16" s="28" t="s">
        <v>946</v>
      </c>
      <c r="D16" s="29" t="s">
        <v>42</v>
      </c>
      <c r="E16" s="40" t="s">
        <v>365</v>
      </c>
      <c r="F16" s="22">
        <v>1000</v>
      </c>
      <c r="G16" s="22">
        <v>4000</v>
      </c>
      <c r="H16" s="23">
        <v>1000</v>
      </c>
      <c r="I16" s="22">
        <f t="shared" si="1"/>
        <v>3000</v>
      </c>
      <c r="J16" s="22" t="s">
        <v>16</v>
      </c>
      <c r="K16" s="24"/>
      <c r="L16" s="25"/>
    </row>
    <row r="17" spans="1:12" ht="15.75" x14ac:dyDescent="0.25">
      <c r="A17" s="20" t="s">
        <v>40</v>
      </c>
      <c r="B17" s="21" t="s">
        <v>372</v>
      </c>
      <c r="C17" s="28" t="s">
        <v>15</v>
      </c>
      <c r="D17" s="29" t="s">
        <v>54</v>
      </c>
      <c r="E17" s="40" t="s">
        <v>69</v>
      </c>
      <c r="F17" s="22">
        <v>70000</v>
      </c>
      <c r="G17" s="42">
        <v>2000000</v>
      </c>
      <c r="H17" s="23">
        <f>10000+70000</f>
        <v>80000</v>
      </c>
      <c r="I17" s="22">
        <f t="shared" si="1"/>
        <v>1920000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938</v>
      </c>
      <c r="C18" s="28" t="s">
        <v>187</v>
      </c>
      <c r="D18" s="29" t="s">
        <v>93</v>
      </c>
      <c r="E18" s="40" t="s">
        <v>46</v>
      </c>
      <c r="F18" s="22">
        <v>215</v>
      </c>
      <c r="G18" s="42">
        <v>400</v>
      </c>
      <c r="H18" s="23">
        <v>215</v>
      </c>
      <c r="I18" s="22">
        <f>G18-H18</f>
        <v>185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882</v>
      </c>
      <c r="C19" s="28" t="s">
        <v>883</v>
      </c>
      <c r="D19" s="29" t="s">
        <v>27</v>
      </c>
      <c r="E19" s="40" t="s">
        <v>179</v>
      </c>
      <c r="F19" s="22">
        <v>16000</v>
      </c>
      <c r="G19" s="22">
        <v>50000</v>
      </c>
      <c r="H19" s="23">
        <f>7000+16850+16000</f>
        <v>39850</v>
      </c>
      <c r="I19" s="22">
        <f t="shared" ref="I19:I20" si="2">G19-H19</f>
        <v>10150</v>
      </c>
      <c r="J19" s="22" t="s">
        <v>16</v>
      </c>
      <c r="K19" s="24"/>
      <c r="L19" s="25"/>
    </row>
    <row r="20" spans="1:12" ht="15.75" x14ac:dyDescent="0.25">
      <c r="A20" s="20" t="s">
        <v>152</v>
      </c>
      <c r="B20" s="21" t="s">
        <v>935</v>
      </c>
      <c r="C20" s="28" t="s">
        <v>902</v>
      </c>
      <c r="D20" s="29" t="s">
        <v>936</v>
      </c>
      <c r="E20" s="40" t="s">
        <v>937</v>
      </c>
      <c r="F20" s="22">
        <f>23+24+27+20+29</f>
        <v>123</v>
      </c>
      <c r="G20" s="22">
        <v>100</v>
      </c>
      <c r="H20" s="23">
        <v>123</v>
      </c>
      <c r="I20" s="22">
        <f t="shared" si="2"/>
        <v>-23</v>
      </c>
      <c r="J20" s="22" t="s">
        <v>23</v>
      </c>
      <c r="K20" s="24"/>
      <c r="L20" s="25"/>
    </row>
    <row r="21" spans="1:12" ht="15.75" x14ac:dyDescent="0.25">
      <c r="A21" s="20" t="s">
        <v>231</v>
      </c>
      <c r="B21" s="21" t="s">
        <v>933</v>
      </c>
      <c r="C21" s="28" t="s">
        <v>911</v>
      </c>
      <c r="D21" s="29" t="s">
        <v>240</v>
      </c>
      <c r="E21" s="40" t="s">
        <v>934</v>
      </c>
      <c r="F21" s="22">
        <v>750.3</v>
      </c>
      <c r="G21" s="22">
        <v>1000</v>
      </c>
      <c r="H21" s="23">
        <v>750.3</v>
      </c>
      <c r="I21" s="22">
        <f>G21-H21</f>
        <v>249.70000000000005</v>
      </c>
      <c r="J21" s="22" t="s">
        <v>16</v>
      </c>
      <c r="K21" s="24"/>
      <c r="L21" s="25"/>
    </row>
    <row r="22" spans="1:12" ht="15.75" x14ac:dyDescent="0.25">
      <c r="A22" s="43" t="s">
        <v>231</v>
      </c>
      <c r="B22" s="44" t="s">
        <v>910</v>
      </c>
      <c r="C22" s="45" t="s">
        <v>911</v>
      </c>
      <c r="D22" s="46" t="s">
        <v>240</v>
      </c>
      <c r="E22" s="47" t="s">
        <v>912</v>
      </c>
      <c r="F22" s="48">
        <v>750.3</v>
      </c>
      <c r="G22" s="48">
        <v>1000</v>
      </c>
      <c r="H22" s="49">
        <f>250.3+750.3</f>
        <v>1000.5999999999999</v>
      </c>
      <c r="I22" s="48">
        <f>G22-H22</f>
        <v>-0.59999999999990905</v>
      </c>
      <c r="J22" s="48" t="s">
        <v>23</v>
      </c>
      <c r="K22" s="50"/>
      <c r="L22" s="51"/>
    </row>
    <row r="23" spans="1:12" s="61" customFormat="1" ht="15.75" x14ac:dyDescent="0.25">
      <c r="A23" s="52" t="s">
        <v>22</v>
      </c>
      <c r="B23" s="53" t="s">
        <v>907</v>
      </c>
      <c r="C23" s="54" t="s">
        <v>908</v>
      </c>
      <c r="D23" s="55" t="s">
        <v>909</v>
      </c>
      <c r="E23" s="56" t="s">
        <v>90</v>
      </c>
      <c r="F23" s="57">
        <v>375.7</v>
      </c>
      <c r="G23" s="57">
        <v>1000</v>
      </c>
      <c r="H23" s="58">
        <f>163.6+375.7</f>
        <v>539.29999999999995</v>
      </c>
      <c r="I23" s="57">
        <f>G23-H23</f>
        <v>460.70000000000005</v>
      </c>
      <c r="J23" s="57" t="s">
        <v>16</v>
      </c>
      <c r="K23" s="59"/>
      <c r="L23" s="60"/>
    </row>
    <row r="24" spans="1:12" ht="16.5" thickBot="1" x14ac:dyDescent="0.3">
      <c r="A24" s="30"/>
      <c r="B24" s="31"/>
      <c r="C24" s="32"/>
      <c r="D24" s="33"/>
      <c r="E24" s="41"/>
      <c r="F24" s="34"/>
      <c r="G24" s="34"/>
      <c r="H24" s="35"/>
      <c r="I24" s="34"/>
      <c r="J24" s="34" t="s">
        <v>64</v>
      </c>
      <c r="K24" s="36"/>
      <c r="L24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B855-E6DB-44D7-8AE7-26626335A415}">
  <dimension ref="A2:L26"/>
  <sheetViews>
    <sheetView workbookViewId="0">
      <pane xSplit="3" topLeftCell="F1" activePane="topRight" state="frozen"/>
      <selection pane="topRight" activeCell="A18" sqref="A18:XFD18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28</v>
      </c>
      <c r="B4" s="15" t="s">
        <v>968</v>
      </c>
      <c r="C4" s="26" t="s">
        <v>969</v>
      </c>
      <c r="D4" s="27" t="s">
        <v>52</v>
      </c>
      <c r="E4" s="39" t="s">
        <v>970</v>
      </c>
      <c r="F4" s="16">
        <v>3900</v>
      </c>
      <c r="G4" s="16">
        <v>3672</v>
      </c>
      <c r="H4" s="17">
        <v>3900</v>
      </c>
      <c r="I4" s="16">
        <f t="shared" ref="I4" si="0">G4-H4</f>
        <v>-228</v>
      </c>
      <c r="J4" s="16" t="s">
        <v>24</v>
      </c>
      <c r="K4" s="18"/>
      <c r="L4" s="19"/>
    </row>
    <row r="5" spans="1:12" ht="15.75" x14ac:dyDescent="0.25">
      <c r="A5" s="20" t="s">
        <v>82</v>
      </c>
      <c r="B5" s="21" t="s">
        <v>958</v>
      </c>
      <c r="C5" s="28" t="s">
        <v>61</v>
      </c>
      <c r="D5" s="29" t="s">
        <v>93</v>
      </c>
      <c r="E5" s="40" t="s">
        <v>46</v>
      </c>
      <c r="F5" s="22">
        <v>209.6</v>
      </c>
      <c r="G5" s="22">
        <v>500</v>
      </c>
      <c r="H5" s="23">
        <v>209.6</v>
      </c>
      <c r="I5" s="22">
        <f>G5-H5</f>
        <v>290.39999999999998</v>
      </c>
      <c r="J5" s="22" t="s">
        <v>16</v>
      </c>
      <c r="K5" s="24"/>
      <c r="L5" s="25"/>
    </row>
    <row r="6" spans="1:12" ht="15.75" x14ac:dyDescent="0.25">
      <c r="A6" s="20" t="s">
        <v>20</v>
      </c>
      <c r="B6" s="21" t="s">
        <v>953</v>
      </c>
      <c r="C6" s="28" t="s">
        <v>972</v>
      </c>
      <c r="D6" s="29" t="s">
        <v>42</v>
      </c>
      <c r="E6" s="40" t="s">
        <v>955</v>
      </c>
      <c r="F6" s="22">
        <v>9000</v>
      </c>
      <c r="G6" s="22">
        <v>10000</v>
      </c>
      <c r="H6" s="23">
        <v>9000</v>
      </c>
      <c r="I6" s="22">
        <f>G6-H6</f>
        <v>1000</v>
      </c>
      <c r="J6" s="22" t="s">
        <v>16</v>
      </c>
      <c r="K6" s="24"/>
      <c r="L6" s="25"/>
    </row>
    <row r="7" spans="1:12" ht="15.75" x14ac:dyDescent="0.25">
      <c r="A7" s="20" t="s">
        <v>51</v>
      </c>
      <c r="B7" s="21" t="s">
        <v>939</v>
      </c>
      <c r="C7" s="28" t="s">
        <v>204</v>
      </c>
      <c r="D7" s="29" t="s">
        <v>43</v>
      </c>
      <c r="E7" s="40" t="s">
        <v>206</v>
      </c>
      <c r="F7" s="22">
        <v>372.7</v>
      </c>
      <c r="G7" s="22">
        <v>3000</v>
      </c>
      <c r="H7" s="23">
        <f>503.8+372.7</f>
        <v>876.5</v>
      </c>
      <c r="I7" s="22">
        <f t="shared" ref="I7:I18" si="1">G7-H7</f>
        <v>2123.5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973</v>
      </c>
      <c r="C8" s="28" t="s">
        <v>974</v>
      </c>
      <c r="D8" s="29" t="s">
        <v>250</v>
      </c>
      <c r="E8" s="40" t="s">
        <v>975</v>
      </c>
      <c r="F8" s="22">
        <v>10000</v>
      </c>
      <c r="G8" s="22">
        <v>10000</v>
      </c>
      <c r="H8" s="23">
        <v>10000</v>
      </c>
      <c r="I8" s="22">
        <f t="shared" si="1"/>
        <v>0</v>
      </c>
      <c r="J8" s="22" t="s">
        <v>23</v>
      </c>
      <c r="K8" s="24"/>
      <c r="L8" s="25"/>
    </row>
    <row r="9" spans="1:12" ht="15.75" x14ac:dyDescent="0.25">
      <c r="A9" s="20" t="s">
        <v>228</v>
      </c>
      <c r="B9" s="21" t="s">
        <v>734</v>
      </c>
      <c r="C9" s="28" t="s">
        <v>15</v>
      </c>
      <c r="D9" s="29" t="s">
        <v>65</v>
      </c>
      <c r="E9" s="40" t="s">
        <v>940</v>
      </c>
      <c r="F9" s="22">
        <v>26000</v>
      </c>
      <c r="G9" s="22">
        <v>100000</v>
      </c>
      <c r="H9" s="23">
        <f>80000+26000</f>
        <v>106000</v>
      </c>
      <c r="I9" s="22">
        <f t="shared" si="1"/>
        <v>-6000</v>
      </c>
      <c r="J9" s="22" t="s">
        <v>24</v>
      </c>
      <c r="K9" s="24"/>
      <c r="L9" s="25"/>
    </row>
    <row r="10" spans="1:12" ht="15.75" x14ac:dyDescent="0.25">
      <c r="A10" s="20" t="s">
        <v>17</v>
      </c>
      <c r="B10" s="21" t="s">
        <v>941</v>
      </c>
      <c r="C10" s="28" t="s">
        <v>942</v>
      </c>
      <c r="D10" s="29" t="s">
        <v>18</v>
      </c>
      <c r="E10" s="40" t="s">
        <v>943</v>
      </c>
      <c r="F10" s="22">
        <f>2915+1800</f>
        <v>4715</v>
      </c>
      <c r="G10" s="22">
        <v>5000</v>
      </c>
      <c r="H10" s="23">
        <f>550+4715</f>
        <v>5265</v>
      </c>
      <c r="I10" s="22">
        <f t="shared" si="1"/>
        <v>-265</v>
      </c>
      <c r="J10" s="22" t="s">
        <v>24</v>
      </c>
      <c r="K10" s="24"/>
      <c r="L10" s="25"/>
    </row>
    <row r="11" spans="1:12" ht="15.75" x14ac:dyDescent="0.25">
      <c r="A11" s="20" t="s">
        <v>19</v>
      </c>
      <c r="B11" s="21" t="s">
        <v>976</v>
      </c>
      <c r="C11" s="28" t="s">
        <v>214</v>
      </c>
      <c r="D11" s="29" t="s">
        <v>977</v>
      </c>
      <c r="E11" s="40" t="s">
        <v>216</v>
      </c>
      <c r="F11" s="22">
        <v>4250</v>
      </c>
      <c r="G11" s="22">
        <v>30000</v>
      </c>
      <c r="H11" s="23">
        <v>4250</v>
      </c>
      <c r="I11" s="22">
        <f t="shared" si="1"/>
        <v>25750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734</v>
      </c>
      <c r="C12" s="28" t="s">
        <v>15</v>
      </c>
      <c r="D12" s="29" t="s">
        <v>219</v>
      </c>
      <c r="E12" s="40" t="s">
        <v>978</v>
      </c>
      <c r="F12" s="22">
        <v>22400</v>
      </c>
      <c r="G12" s="22">
        <v>105000</v>
      </c>
      <c r="H12" s="23">
        <f>20300+22400+22400</f>
        <v>65100</v>
      </c>
      <c r="I12" s="22">
        <f t="shared" si="1"/>
        <v>39900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944</v>
      </c>
      <c r="C13" s="28" t="s">
        <v>15</v>
      </c>
      <c r="D13" s="29" t="s">
        <v>344</v>
      </c>
      <c r="E13" s="40" t="s">
        <v>345</v>
      </c>
      <c r="F13" s="22">
        <v>21000</v>
      </c>
      <c r="G13" s="22">
        <v>100000</v>
      </c>
      <c r="H13" s="23">
        <f>12000+21000</f>
        <v>33000</v>
      </c>
      <c r="I13" s="22">
        <f t="shared" si="1"/>
        <v>67000</v>
      </c>
      <c r="J13" s="22" t="s">
        <v>16</v>
      </c>
      <c r="K13" s="24"/>
      <c r="L13" s="25"/>
    </row>
    <row r="14" spans="1:12" ht="15.75" x14ac:dyDescent="0.25">
      <c r="A14" s="20" t="s">
        <v>82</v>
      </c>
      <c r="B14" s="21" t="s">
        <v>971</v>
      </c>
      <c r="C14" s="28" t="s">
        <v>15</v>
      </c>
      <c r="D14" s="29" t="s">
        <v>374</v>
      </c>
      <c r="E14" s="40" t="s">
        <v>789</v>
      </c>
      <c r="F14" s="22">
        <v>62</v>
      </c>
      <c r="G14" s="22">
        <v>1000</v>
      </c>
      <c r="H14" s="23">
        <v>62</v>
      </c>
      <c r="I14" s="22">
        <f>G14-H14</f>
        <v>938</v>
      </c>
      <c r="J14" s="22" t="s">
        <v>16</v>
      </c>
      <c r="K14" s="24"/>
      <c r="L14" s="25"/>
    </row>
    <row r="15" spans="1:12" ht="15.75" x14ac:dyDescent="0.25">
      <c r="A15" s="20" t="s">
        <v>44</v>
      </c>
      <c r="B15" s="21" t="s">
        <v>444</v>
      </c>
      <c r="C15" s="28" t="s">
        <v>15</v>
      </c>
      <c r="D15" s="29" t="s">
        <v>47</v>
      </c>
      <c r="E15" s="40" t="s">
        <v>45</v>
      </c>
      <c r="F15" s="22">
        <v>17000</v>
      </c>
      <c r="G15" s="22">
        <v>500000</v>
      </c>
      <c r="H15" s="23">
        <f>312000+38000+32000+17000</f>
        <v>399000</v>
      </c>
      <c r="I15" s="22">
        <f>G15-H15</f>
        <v>101000</v>
      </c>
      <c r="J15" s="22" t="s">
        <v>16</v>
      </c>
      <c r="K15" s="24"/>
      <c r="L15" s="25"/>
    </row>
    <row r="16" spans="1:12" ht="15.75" x14ac:dyDescent="0.25">
      <c r="A16" s="20" t="s">
        <v>244</v>
      </c>
      <c r="B16" s="21" t="s">
        <v>985</v>
      </c>
      <c r="C16" s="28" t="s">
        <v>986</v>
      </c>
      <c r="D16" s="29" t="s">
        <v>987</v>
      </c>
      <c r="E16" s="40" t="s">
        <v>988</v>
      </c>
      <c r="F16" s="22">
        <v>1</v>
      </c>
      <c r="G16" s="22">
        <v>1</v>
      </c>
      <c r="H16" s="23">
        <v>1</v>
      </c>
      <c r="I16" s="22">
        <f>G16-H16</f>
        <v>0</v>
      </c>
      <c r="J16" s="22" t="s">
        <v>24</v>
      </c>
      <c r="K16" s="24"/>
      <c r="L16" s="25"/>
    </row>
    <row r="17" spans="1:12" ht="15.75" x14ac:dyDescent="0.25">
      <c r="A17" s="20" t="s">
        <v>14</v>
      </c>
      <c r="B17" s="21" t="s">
        <v>945</v>
      </c>
      <c r="C17" s="28" t="s">
        <v>946</v>
      </c>
      <c r="D17" s="29" t="s">
        <v>42</v>
      </c>
      <c r="E17" s="40" t="s">
        <v>365</v>
      </c>
      <c r="F17" s="22">
        <v>3310</v>
      </c>
      <c r="G17" s="22">
        <v>4000</v>
      </c>
      <c r="H17" s="23">
        <f>1000+3310</f>
        <v>4310</v>
      </c>
      <c r="I17" s="22">
        <f t="shared" si="1"/>
        <v>-310</v>
      </c>
      <c r="J17" s="22" t="s">
        <v>24</v>
      </c>
      <c r="K17" s="24"/>
      <c r="L17" s="25"/>
    </row>
    <row r="18" spans="1:12" ht="15.75" x14ac:dyDescent="0.25">
      <c r="A18" s="20" t="s">
        <v>30</v>
      </c>
      <c r="B18" s="21" t="s">
        <v>979</v>
      </c>
      <c r="C18" s="28" t="s">
        <v>36</v>
      </c>
      <c r="D18" s="29" t="s">
        <v>37</v>
      </c>
      <c r="E18" s="40" t="s">
        <v>313</v>
      </c>
      <c r="F18" s="22">
        <f>20000+2000</f>
        <v>22000</v>
      </c>
      <c r="G18" s="42">
        <v>43000</v>
      </c>
      <c r="H18" s="23">
        <v>22000</v>
      </c>
      <c r="I18" s="22">
        <f t="shared" si="1"/>
        <v>21000</v>
      </c>
      <c r="J18" s="22" t="s">
        <v>16</v>
      </c>
      <c r="K18" s="24"/>
      <c r="L18" s="25"/>
    </row>
    <row r="19" spans="1:12" ht="15.75" x14ac:dyDescent="0.25">
      <c r="A19" s="20" t="s">
        <v>231</v>
      </c>
      <c r="B19" s="21" t="s">
        <v>983</v>
      </c>
      <c r="C19" s="28" t="s">
        <v>493</v>
      </c>
      <c r="D19" s="29" t="s">
        <v>240</v>
      </c>
      <c r="E19" s="40" t="s">
        <v>984</v>
      </c>
      <c r="F19" s="22">
        <v>629</v>
      </c>
      <c r="G19" s="42">
        <v>1000</v>
      </c>
      <c r="H19" s="23">
        <v>629</v>
      </c>
      <c r="I19" s="22">
        <f>G19-H19</f>
        <v>371</v>
      </c>
      <c r="J19" s="22" t="s">
        <v>16</v>
      </c>
      <c r="K19" s="24"/>
      <c r="L19" s="25"/>
    </row>
    <row r="20" spans="1:12" ht="15.75" x14ac:dyDescent="0.25">
      <c r="A20" s="20" t="s">
        <v>346</v>
      </c>
      <c r="B20" s="21" t="s">
        <v>938</v>
      </c>
      <c r="C20" s="28" t="s">
        <v>187</v>
      </c>
      <c r="D20" s="29" t="s">
        <v>93</v>
      </c>
      <c r="E20" s="40" t="s">
        <v>46</v>
      </c>
      <c r="F20" s="22">
        <v>188.7</v>
      </c>
      <c r="G20" s="42">
        <v>400</v>
      </c>
      <c r="H20" s="23">
        <f>215+188.7</f>
        <v>403.7</v>
      </c>
      <c r="I20" s="22">
        <f>G20-H20</f>
        <v>-3.6999999999999886</v>
      </c>
      <c r="J20" s="22" t="s">
        <v>23</v>
      </c>
      <c r="K20" s="24"/>
      <c r="L20" s="25"/>
    </row>
    <row r="21" spans="1:12" ht="15.75" x14ac:dyDescent="0.25">
      <c r="A21" s="20" t="s">
        <v>30</v>
      </c>
      <c r="B21" s="21" t="s">
        <v>947</v>
      </c>
      <c r="C21" s="28" t="s">
        <v>718</v>
      </c>
      <c r="D21" s="29" t="s">
        <v>48</v>
      </c>
      <c r="E21" s="40" t="s">
        <v>49</v>
      </c>
      <c r="F21" s="22">
        <v>24000</v>
      </c>
      <c r="G21" s="22">
        <v>270000</v>
      </c>
      <c r="H21" s="23">
        <v>42000</v>
      </c>
      <c r="I21" s="22">
        <f t="shared" ref="I21:I22" si="2">G21-H21</f>
        <v>228000</v>
      </c>
      <c r="J21" s="22" t="s">
        <v>16</v>
      </c>
      <c r="K21" s="24"/>
      <c r="L21" s="25"/>
    </row>
    <row r="22" spans="1:12" ht="15.75" x14ac:dyDescent="0.25">
      <c r="A22" s="20" t="s">
        <v>21</v>
      </c>
      <c r="B22" s="21" t="s">
        <v>980</v>
      </c>
      <c r="C22" s="28" t="s">
        <v>15</v>
      </c>
      <c r="D22" s="29" t="s">
        <v>344</v>
      </c>
      <c r="E22" s="40" t="s">
        <v>981</v>
      </c>
      <c r="F22" s="22">
        <v>10000</v>
      </c>
      <c r="G22" s="22">
        <v>20000</v>
      </c>
      <c r="H22" s="23">
        <v>10000</v>
      </c>
      <c r="I22" s="22">
        <f t="shared" si="2"/>
        <v>10000</v>
      </c>
      <c r="J22" s="22" t="s">
        <v>16</v>
      </c>
      <c r="K22" s="24"/>
      <c r="L22" s="25"/>
    </row>
    <row r="23" spans="1:12" ht="15.75" x14ac:dyDescent="0.25">
      <c r="A23" s="20" t="s">
        <v>231</v>
      </c>
      <c r="B23" s="21" t="s">
        <v>933</v>
      </c>
      <c r="C23" s="28" t="s">
        <v>911</v>
      </c>
      <c r="D23" s="29" t="s">
        <v>240</v>
      </c>
      <c r="E23" s="40" t="s">
        <v>934</v>
      </c>
      <c r="F23" s="22">
        <v>563.25</v>
      </c>
      <c r="G23" s="22">
        <v>1000</v>
      </c>
      <c r="H23" s="23">
        <v>1000.25</v>
      </c>
      <c r="I23" s="22">
        <f>G23-H23</f>
        <v>-0.25</v>
      </c>
      <c r="J23" s="22" t="s">
        <v>23</v>
      </c>
      <c r="K23" s="24"/>
      <c r="L23" s="25"/>
    </row>
    <row r="24" spans="1:12" ht="15.75" x14ac:dyDescent="0.25">
      <c r="A24" s="43" t="s">
        <v>19</v>
      </c>
      <c r="B24" s="44" t="s">
        <v>961</v>
      </c>
      <c r="C24" s="45" t="s">
        <v>397</v>
      </c>
      <c r="D24" s="46" t="s">
        <v>586</v>
      </c>
      <c r="E24" s="47" t="s">
        <v>982</v>
      </c>
      <c r="F24" s="48">
        <v>1500</v>
      </c>
      <c r="G24" s="48">
        <v>20000</v>
      </c>
      <c r="H24" s="49">
        <v>1500</v>
      </c>
      <c r="I24" s="48">
        <f>G24-H24</f>
        <v>18500</v>
      </c>
      <c r="J24" s="48" t="s">
        <v>16</v>
      </c>
      <c r="K24" s="50"/>
      <c r="L24" s="51"/>
    </row>
    <row r="25" spans="1:12" s="61" customFormat="1" ht="15.75" x14ac:dyDescent="0.25">
      <c r="A25" s="52" t="s">
        <v>22</v>
      </c>
      <c r="B25" s="53" t="s">
        <v>907</v>
      </c>
      <c r="C25" s="54" t="s">
        <v>908</v>
      </c>
      <c r="D25" s="55" t="s">
        <v>909</v>
      </c>
      <c r="E25" s="56" t="s">
        <v>90</v>
      </c>
      <c r="F25" s="57">
        <v>457.8</v>
      </c>
      <c r="G25" s="57">
        <v>1000</v>
      </c>
      <c r="H25" s="58">
        <f>163.6+375.7+457.8</f>
        <v>997.09999999999991</v>
      </c>
      <c r="I25" s="57">
        <f>G25-H25</f>
        <v>2.9000000000000909</v>
      </c>
      <c r="J25" s="57" t="s">
        <v>16</v>
      </c>
      <c r="K25" s="59"/>
      <c r="L25" s="60"/>
    </row>
    <row r="26" spans="1:12" ht="16.5" thickBot="1" x14ac:dyDescent="0.3">
      <c r="A26" s="30"/>
      <c r="B26" s="31"/>
      <c r="C26" s="32"/>
      <c r="D26" s="33"/>
      <c r="E26" s="41"/>
      <c r="F26" s="34"/>
      <c r="G26" s="34"/>
      <c r="H26" s="35"/>
      <c r="I26" s="34"/>
      <c r="J26" s="34" t="s">
        <v>64</v>
      </c>
      <c r="K26" s="36"/>
      <c r="L26" s="37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L9"/>
  <sheetViews>
    <sheetView workbookViewId="0">
      <pane xSplit="3" topLeftCell="F1" activePane="topRight" state="frozen"/>
      <selection pane="topRight" activeCell="J6" sqref="J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949</v>
      </c>
      <c r="C4" s="26" t="s">
        <v>950</v>
      </c>
      <c r="D4" s="27" t="s">
        <v>364</v>
      </c>
      <c r="E4" s="39" t="s">
        <v>951</v>
      </c>
      <c r="F4" s="16">
        <v>3948</v>
      </c>
      <c r="G4" s="16">
        <v>20000</v>
      </c>
      <c r="H4" s="17">
        <v>3948</v>
      </c>
      <c r="I4" s="16">
        <f t="shared" ref="I4:I5" si="0">G4-H4</f>
        <v>16052</v>
      </c>
      <c r="J4" s="16" t="s">
        <v>16</v>
      </c>
      <c r="K4" s="18"/>
      <c r="L4" s="19"/>
    </row>
    <row r="5" spans="1:12" ht="15.75" x14ac:dyDescent="0.25">
      <c r="A5" s="20" t="s">
        <v>40</v>
      </c>
      <c r="B5" s="21" t="s">
        <v>372</v>
      </c>
      <c r="C5" s="28" t="s">
        <v>15</v>
      </c>
      <c r="D5" s="29" t="s">
        <v>54</v>
      </c>
      <c r="E5" s="40" t="s">
        <v>69</v>
      </c>
      <c r="F5" s="22">
        <v>40000</v>
      </c>
      <c r="G5" s="42">
        <v>2000000</v>
      </c>
      <c r="H5" s="23">
        <f>10000+70000+40000</f>
        <v>120000</v>
      </c>
      <c r="I5" s="22">
        <f t="shared" si="0"/>
        <v>1880000</v>
      </c>
      <c r="J5" s="22" t="s">
        <v>16</v>
      </c>
      <c r="K5" s="24"/>
      <c r="L5" s="25"/>
    </row>
    <row r="6" spans="1:12" ht="15.75" x14ac:dyDescent="0.25">
      <c r="A6" s="20" t="s">
        <v>20</v>
      </c>
      <c r="B6" s="21" t="s">
        <v>953</v>
      </c>
      <c r="C6" s="28" t="s">
        <v>954</v>
      </c>
      <c r="D6" s="29" t="s">
        <v>42</v>
      </c>
      <c r="E6" s="40" t="s">
        <v>955</v>
      </c>
      <c r="F6" s="22">
        <v>750</v>
      </c>
      <c r="G6" s="42">
        <v>10000</v>
      </c>
      <c r="H6" s="23">
        <v>11250</v>
      </c>
      <c r="I6" s="22">
        <f>G6-H6</f>
        <v>-1250</v>
      </c>
      <c r="J6" s="22" t="s">
        <v>24</v>
      </c>
      <c r="K6" s="24"/>
      <c r="L6" s="25"/>
    </row>
    <row r="7" spans="1:12" ht="15.75" x14ac:dyDescent="0.25">
      <c r="A7" s="20" t="s">
        <v>17</v>
      </c>
      <c r="B7" s="21" t="s">
        <v>808</v>
      </c>
      <c r="C7" s="28" t="s">
        <v>952</v>
      </c>
      <c r="D7" s="29" t="s">
        <v>18</v>
      </c>
      <c r="E7" s="40" t="s">
        <v>776</v>
      </c>
      <c r="F7" s="22">
        <v>750</v>
      </c>
      <c r="G7" s="22">
        <v>10000</v>
      </c>
      <c r="H7" s="23">
        <v>3156</v>
      </c>
      <c r="I7" s="22">
        <f t="shared" ref="I7" si="1">G7-H7</f>
        <v>6844</v>
      </c>
      <c r="J7" s="22" t="s">
        <v>16</v>
      </c>
      <c r="K7" s="24"/>
      <c r="L7" s="25"/>
    </row>
    <row r="8" spans="1:12" ht="15.75" x14ac:dyDescent="0.25">
      <c r="A8" s="43" t="s">
        <v>30</v>
      </c>
      <c r="B8" s="44" t="s">
        <v>947</v>
      </c>
      <c r="C8" s="45" t="s">
        <v>948</v>
      </c>
      <c r="D8" s="46" t="s">
        <v>93</v>
      </c>
      <c r="E8" s="47" t="s">
        <v>49</v>
      </c>
      <c r="F8" s="48">
        <v>56000</v>
      </c>
      <c r="G8" s="48">
        <v>270000</v>
      </c>
      <c r="H8" s="49">
        <v>70000</v>
      </c>
      <c r="I8" s="48">
        <f>G8-H8</f>
        <v>200000</v>
      </c>
      <c r="J8" s="48" t="s">
        <v>16</v>
      </c>
      <c r="K8" s="50"/>
      <c r="L8" s="51"/>
    </row>
    <row r="9" spans="1:12" ht="16.5" thickBot="1" x14ac:dyDescent="0.3">
      <c r="A9" s="30"/>
      <c r="B9" s="31"/>
      <c r="C9" s="32"/>
      <c r="D9" s="33"/>
      <c r="E9" s="41"/>
      <c r="F9" s="34"/>
      <c r="G9" s="34"/>
      <c r="H9" s="35"/>
      <c r="I9" s="34"/>
      <c r="J9" s="34" t="s">
        <v>64</v>
      </c>
      <c r="K9" s="36"/>
      <c r="L9" s="37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L16"/>
  <sheetViews>
    <sheetView workbookViewId="0">
      <pane xSplit="3" topLeftCell="D1" activePane="topRight" state="frozen"/>
      <selection pane="topRight" activeCell="A11" sqref="A11:XFD1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949</v>
      </c>
      <c r="C4" s="26" t="s">
        <v>950</v>
      </c>
      <c r="D4" s="27" t="s">
        <v>364</v>
      </c>
      <c r="E4" s="39" t="s">
        <v>951</v>
      </c>
      <c r="F4" s="16">
        <f>3052+550+50</f>
        <v>3652</v>
      </c>
      <c r="G4" s="16">
        <v>20000</v>
      </c>
      <c r="H4" s="17">
        <f>3948+3652</f>
        <v>7600</v>
      </c>
      <c r="I4" s="16">
        <f t="shared" ref="I4:I14" si="0">G4-H4</f>
        <v>12400</v>
      </c>
      <c r="J4" s="16" t="s">
        <v>16</v>
      </c>
      <c r="K4" s="18"/>
      <c r="L4" s="19"/>
    </row>
    <row r="5" spans="1:12" ht="15.75" x14ac:dyDescent="0.25">
      <c r="A5" s="20" t="s">
        <v>28</v>
      </c>
      <c r="B5" s="21" t="s">
        <v>734</v>
      </c>
      <c r="C5" s="28" t="s">
        <v>15</v>
      </c>
      <c r="D5" s="29" t="s">
        <v>18</v>
      </c>
      <c r="E5" s="40" t="s">
        <v>384</v>
      </c>
      <c r="F5" s="22">
        <v>16800</v>
      </c>
      <c r="G5" s="42">
        <v>500000</v>
      </c>
      <c r="H5" s="23">
        <v>163100</v>
      </c>
      <c r="I5" s="22">
        <f t="shared" si="0"/>
        <v>336900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734</v>
      </c>
      <c r="C6" s="28" t="s">
        <v>15</v>
      </c>
      <c r="D6" s="29" t="s">
        <v>344</v>
      </c>
      <c r="E6" s="40" t="s">
        <v>220</v>
      </c>
      <c r="F6" s="22">
        <v>4000</v>
      </c>
      <c r="G6" s="42">
        <v>30000</v>
      </c>
      <c r="H6" s="23">
        <v>6000</v>
      </c>
      <c r="I6" s="22">
        <f t="shared" ref="I6:I13" si="1">G6-H6</f>
        <v>24000</v>
      </c>
      <c r="J6" s="22" t="s">
        <v>16</v>
      </c>
      <c r="K6" s="24"/>
      <c r="L6" s="25"/>
    </row>
    <row r="7" spans="1:12" ht="15.75" x14ac:dyDescent="0.25">
      <c r="A7" s="20" t="s">
        <v>346</v>
      </c>
      <c r="B7" s="21" t="s">
        <v>958</v>
      </c>
      <c r="C7" s="28" t="s">
        <v>61</v>
      </c>
      <c r="D7" s="29" t="s">
        <v>959</v>
      </c>
      <c r="E7" s="40" t="s">
        <v>960</v>
      </c>
      <c r="F7" s="22">
        <v>81.7</v>
      </c>
      <c r="G7" s="42">
        <v>300</v>
      </c>
      <c r="H7" s="23">
        <f>209.6+81.7</f>
        <v>291.3</v>
      </c>
      <c r="I7" s="22">
        <f t="shared" si="1"/>
        <v>8.6999999999999886</v>
      </c>
      <c r="J7" s="22" t="s">
        <v>16</v>
      </c>
      <c r="K7" s="24"/>
      <c r="L7" s="25"/>
    </row>
    <row r="8" spans="1:12" ht="15.75" x14ac:dyDescent="0.25">
      <c r="A8" s="20" t="s">
        <v>44</v>
      </c>
      <c r="B8" s="21" t="s">
        <v>444</v>
      </c>
      <c r="C8" s="28" t="s">
        <v>15</v>
      </c>
      <c r="D8" s="29" t="s">
        <v>47</v>
      </c>
      <c r="E8" s="40" t="s">
        <v>45</v>
      </c>
      <c r="F8" s="22">
        <v>280000</v>
      </c>
      <c r="G8" s="42">
        <v>500000</v>
      </c>
      <c r="H8" s="23">
        <v>461000</v>
      </c>
      <c r="I8" s="22">
        <f t="shared" si="1"/>
        <v>39000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961</v>
      </c>
      <c r="C9" s="28" t="s">
        <v>630</v>
      </c>
      <c r="D9" s="29" t="s">
        <v>398</v>
      </c>
      <c r="E9" s="40" t="s">
        <v>399</v>
      </c>
      <c r="F9" s="22">
        <v>4500</v>
      </c>
      <c r="G9" s="42">
        <v>20000</v>
      </c>
      <c r="H9" s="23">
        <v>6000</v>
      </c>
      <c r="I9" s="22">
        <f t="shared" si="1"/>
        <v>14000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928</v>
      </c>
      <c r="C10" s="28" t="s">
        <v>929</v>
      </c>
      <c r="D10" s="29" t="s">
        <v>225</v>
      </c>
      <c r="E10" s="40" t="s">
        <v>38</v>
      </c>
      <c r="F10" s="22">
        <v>348.9</v>
      </c>
      <c r="G10" s="22">
        <v>1000</v>
      </c>
      <c r="H10" s="23">
        <f>495+143.8+348.9</f>
        <v>987.69999999999993</v>
      </c>
      <c r="I10" s="22">
        <f t="shared" si="1"/>
        <v>12.300000000000068</v>
      </c>
      <c r="J10" s="22" t="s">
        <v>16</v>
      </c>
      <c r="K10" s="24"/>
      <c r="L10" s="25"/>
    </row>
    <row r="11" spans="1:12" ht="15.75" x14ac:dyDescent="0.25">
      <c r="A11" s="20" t="s">
        <v>346</v>
      </c>
      <c r="B11" s="21" t="s">
        <v>519</v>
      </c>
      <c r="C11" s="28" t="s">
        <v>15</v>
      </c>
      <c r="D11" s="29" t="s">
        <v>962</v>
      </c>
      <c r="E11" s="40" t="s">
        <v>46</v>
      </c>
      <c r="F11" s="22">
        <v>234.4</v>
      </c>
      <c r="G11" s="42">
        <v>1000</v>
      </c>
      <c r="H11" s="23">
        <v>234.4</v>
      </c>
      <c r="I11" s="22">
        <f t="shared" si="1"/>
        <v>765.6</v>
      </c>
      <c r="J11" s="22" t="s">
        <v>16</v>
      </c>
      <c r="K11" s="24"/>
      <c r="L11" s="25"/>
    </row>
    <row r="12" spans="1:12" ht="15.75" x14ac:dyDescent="0.25">
      <c r="A12" s="20" t="s">
        <v>963</v>
      </c>
      <c r="B12" s="21" t="s">
        <v>964</v>
      </c>
      <c r="C12" s="28" t="s">
        <v>15</v>
      </c>
      <c r="D12" s="29" t="s">
        <v>965</v>
      </c>
      <c r="E12" s="40" t="s">
        <v>966</v>
      </c>
      <c r="F12" s="22">
        <v>100</v>
      </c>
      <c r="G12" s="42">
        <v>1000</v>
      </c>
      <c r="H12" s="23">
        <v>100</v>
      </c>
      <c r="I12" s="22">
        <f t="shared" si="1"/>
        <v>900</v>
      </c>
      <c r="J12" s="22" t="s">
        <v>16</v>
      </c>
      <c r="K12" s="24"/>
      <c r="L12" s="25"/>
    </row>
    <row r="13" spans="1:12" ht="15.75" x14ac:dyDescent="0.25">
      <c r="A13" s="20" t="s">
        <v>82</v>
      </c>
      <c r="B13" s="21" t="s">
        <v>67</v>
      </c>
      <c r="C13" s="28" t="s">
        <v>15</v>
      </c>
      <c r="D13" s="29" t="s">
        <v>967</v>
      </c>
      <c r="E13" s="40" t="s">
        <v>81</v>
      </c>
      <c r="F13" s="22">
        <v>420</v>
      </c>
      <c r="G13" s="42">
        <v>2000</v>
      </c>
      <c r="H13" s="23">
        <v>420</v>
      </c>
      <c r="I13" s="22">
        <f t="shared" si="1"/>
        <v>1580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956</v>
      </c>
      <c r="C14" s="28" t="s">
        <v>457</v>
      </c>
      <c r="D14" s="29" t="s">
        <v>432</v>
      </c>
      <c r="E14" s="40" t="s">
        <v>957</v>
      </c>
      <c r="F14" s="22">
        <v>1500</v>
      </c>
      <c r="G14" s="22">
        <v>10000</v>
      </c>
      <c r="H14" s="23">
        <v>1500</v>
      </c>
      <c r="I14" s="22">
        <f t="shared" si="0"/>
        <v>8500</v>
      </c>
      <c r="J14" s="22" t="s">
        <v>16</v>
      </c>
      <c r="K14" s="24"/>
      <c r="L14" s="25"/>
    </row>
    <row r="15" spans="1:12" ht="15.75" x14ac:dyDescent="0.25">
      <c r="A15" s="43" t="s">
        <v>30</v>
      </c>
      <c r="B15" s="44" t="s">
        <v>947</v>
      </c>
      <c r="C15" s="45" t="s">
        <v>948</v>
      </c>
      <c r="D15" s="46" t="s">
        <v>93</v>
      </c>
      <c r="E15" s="47" t="s">
        <v>49</v>
      </c>
      <c r="F15" s="48">
        <v>48000</v>
      </c>
      <c r="G15" s="48">
        <v>270000</v>
      </c>
      <c r="H15" s="49">
        <v>70000</v>
      </c>
      <c r="I15" s="48">
        <f>G15-H15</f>
        <v>200000</v>
      </c>
      <c r="J15" s="48" t="s">
        <v>16</v>
      </c>
      <c r="K15" s="50"/>
      <c r="L15" s="51"/>
    </row>
    <row r="16" spans="1:12" ht="16.5" thickBot="1" x14ac:dyDescent="0.3">
      <c r="A16" s="30"/>
      <c r="B16" s="31"/>
      <c r="C16" s="32"/>
      <c r="D16" s="33"/>
      <c r="E16" s="41"/>
      <c r="F16" s="34"/>
      <c r="G16" s="34"/>
      <c r="H16" s="35"/>
      <c r="I16" s="34"/>
      <c r="J16" s="34" t="s">
        <v>64</v>
      </c>
      <c r="K16" s="36"/>
      <c r="L16" s="37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L17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949</v>
      </c>
      <c r="C4" s="26" t="s">
        <v>950</v>
      </c>
      <c r="D4" s="27" t="s">
        <v>364</v>
      </c>
      <c r="E4" s="39" t="s">
        <v>951</v>
      </c>
      <c r="F4" s="16">
        <f>1225+300</f>
        <v>1525</v>
      </c>
      <c r="G4" s="16">
        <v>20000</v>
      </c>
      <c r="H4" s="17">
        <f>3948+3652+1525</f>
        <v>9125</v>
      </c>
      <c r="I4" s="16">
        <f t="shared" ref="I4:I15" si="0">G4-H4</f>
        <v>10875</v>
      </c>
      <c r="J4" s="16" t="s">
        <v>16</v>
      </c>
      <c r="K4" s="18"/>
      <c r="L4" s="19"/>
    </row>
    <row r="5" spans="1:12" ht="15.75" x14ac:dyDescent="0.25">
      <c r="A5" s="20" t="s">
        <v>28</v>
      </c>
      <c r="B5" s="21" t="s">
        <v>734</v>
      </c>
      <c r="C5" s="28" t="s">
        <v>15</v>
      </c>
      <c r="D5" s="29" t="s">
        <v>18</v>
      </c>
      <c r="E5" s="40" t="s">
        <v>384</v>
      </c>
      <c r="F5" s="22">
        <v>16800</v>
      </c>
      <c r="G5" s="42">
        <v>500000</v>
      </c>
      <c r="H5" s="23">
        <f>163100+16800</f>
        <v>179900</v>
      </c>
      <c r="I5" s="22">
        <f t="shared" si="0"/>
        <v>320100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989</v>
      </c>
      <c r="C6" s="28" t="s">
        <v>990</v>
      </c>
      <c r="D6" s="29" t="s">
        <v>65</v>
      </c>
      <c r="E6" s="40" t="s">
        <v>991</v>
      </c>
      <c r="F6" s="22">
        <f>18000+28300</f>
        <v>46300</v>
      </c>
      <c r="G6" s="42">
        <v>100000</v>
      </c>
      <c r="H6" s="23">
        <v>46300</v>
      </c>
      <c r="I6" s="22">
        <f t="shared" si="0"/>
        <v>53700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992</v>
      </c>
      <c r="C7" s="28" t="s">
        <v>993</v>
      </c>
      <c r="D7" s="29" t="s">
        <v>240</v>
      </c>
      <c r="E7" s="40" t="s">
        <v>994</v>
      </c>
      <c r="F7" s="22">
        <v>869.7</v>
      </c>
      <c r="G7" s="42">
        <v>1000</v>
      </c>
      <c r="H7" s="23">
        <v>869.7</v>
      </c>
      <c r="I7" s="22">
        <f t="shared" si="0"/>
        <v>130.29999999999995</v>
      </c>
      <c r="J7" s="22" t="s">
        <v>16</v>
      </c>
      <c r="K7" s="24"/>
      <c r="L7" s="25"/>
    </row>
    <row r="8" spans="1:12" ht="15.75" x14ac:dyDescent="0.25">
      <c r="A8" s="20" t="s">
        <v>30</v>
      </c>
      <c r="B8" s="21" t="s">
        <v>979</v>
      </c>
      <c r="C8" s="28" t="s">
        <v>36</v>
      </c>
      <c r="D8" s="29" t="s">
        <v>37</v>
      </c>
      <c r="E8" s="40" t="s">
        <v>313</v>
      </c>
      <c r="F8" s="22">
        <v>7000</v>
      </c>
      <c r="G8" s="42">
        <v>43000</v>
      </c>
      <c r="H8" s="23">
        <f>22000+7000</f>
        <v>29000</v>
      </c>
      <c r="I8" s="22">
        <f t="shared" si="0"/>
        <v>14000</v>
      </c>
      <c r="J8" s="22" t="s">
        <v>16</v>
      </c>
      <c r="K8" s="24"/>
      <c r="L8" s="25"/>
    </row>
    <row r="9" spans="1:12" ht="15.75" x14ac:dyDescent="0.25">
      <c r="A9" s="20" t="s">
        <v>346</v>
      </c>
      <c r="B9" s="21" t="s">
        <v>519</v>
      </c>
      <c r="C9" s="28" t="s">
        <v>15</v>
      </c>
      <c r="D9" s="29" t="s">
        <v>962</v>
      </c>
      <c r="E9" s="40" t="s">
        <v>46</v>
      </c>
      <c r="F9" s="22">
        <f>192+256.5</f>
        <v>448.5</v>
      </c>
      <c r="G9" s="42">
        <v>1000</v>
      </c>
      <c r="H9" s="23">
        <f>234.4+448.5</f>
        <v>682.9</v>
      </c>
      <c r="I9" s="22">
        <f t="shared" si="0"/>
        <v>317.10000000000002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980</v>
      </c>
      <c r="C10" s="28" t="s">
        <v>15</v>
      </c>
      <c r="D10" s="29" t="s">
        <v>996</v>
      </c>
      <c r="E10" s="40" t="s">
        <v>997</v>
      </c>
      <c r="F10" s="22">
        <v>13100</v>
      </c>
      <c r="G10" s="42">
        <v>20000</v>
      </c>
      <c r="H10" s="23">
        <v>13100</v>
      </c>
      <c r="I10" s="22">
        <f t="shared" si="0"/>
        <v>6900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734</v>
      </c>
      <c r="C11" s="28" t="s">
        <v>210</v>
      </c>
      <c r="D11" s="29" t="s">
        <v>18</v>
      </c>
      <c r="E11" s="40" t="s">
        <v>427</v>
      </c>
      <c r="F11" s="22">
        <v>9000</v>
      </c>
      <c r="G11" s="22">
        <v>100000</v>
      </c>
      <c r="H11" s="23">
        <v>9000</v>
      </c>
      <c r="I11" s="22">
        <f t="shared" si="0"/>
        <v>91000</v>
      </c>
      <c r="J11" s="22" t="s">
        <v>16</v>
      </c>
      <c r="K11" s="24"/>
      <c r="L11" s="25"/>
    </row>
    <row r="12" spans="1:12" ht="15.75" x14ac:dyDescent="0.25">
      <c r="A12" s="20" t="s">
        <v>346</v>
      </c>
      <c r="B12" s="21" t="s">
        <v>519</v>
      </c>
      <c r="C12" s="28" t="s">
        <v>15</v>
      </c>
      <c r="D12" s="29" t="s">
        <v>962</v>
      </c>
      <c r="E12" s="40" t="s">
        <v>46</v>
      </c>
      <c r="F12" s="22">
        <v>28.6</v>
      </c>
      <c r="G12" s="42">
        <v>1000</v>
      </c>
      <c r="H12" s="23">
        <f>234.4+28.6</f>
        <v>263</v>
      </c>
      <c r="I12" s="22">
        <f t="shared" si="0"/>
        <v>737</v>
      </c>
      <c r="J12" s="22" t="s">
        <v>16</v>
      </c>
      <c r="K12" s="24"/>
      <c r="L12" s="25"/>
    </row>
    <row r="13" spans="1:12" ht="15.75" x14ac:dyDescent="0.25">
      <c r="A13" s="20" t="s">
        <v>963</v>
      </c>
      <c r="B13" s="21" t="s">
        <v>964</v>
      </c>
      <c r="C13" s="28" t="s">
        <v>15</v>
      </c>
      <c r="D13" s="29" t="s">
        <v>965</v>
      </c>
      <c r="E13" s="40" t="s">
        <v>966</v>
      </c>
      <c r="F13" s="22">
        <v>126</v>
      </c>
      <c r="G13" s="42">
        <v>1000</v>
      </c>
      <c r="H13" s="23">
        <f>100+126</f>
        <v>226</v>
      </c>
      <c r="I13" s="22">
        <f t="shared" si="0"/>
        <v>774</v>
      </c>
      <c r="J13" s="22" t="s">
        <v>16</v>
      </c>
      <c r="K13" s="24"/>
      <c r="L13" s="25"/>
    </row>
    <row r="14" spans="1:12" ht="15.75" x14ac:dyDescent="0.25">
      <c r="A14" s="20" t="s">
        <v>82</v>
      </c>
      <c r="B14" s="21" t="s">
        <v>67</v>
      </c>
      <c r="C14" s="28" t="s">
        <v>15</v>
      </c>
      <c r="D14" s="29" t="s">
        <v>967</v>
      </c>
      <c r="E14" s="40" t="s">
        <v>81</v>
      </c>
      <c r="F14" s="22">
        <v>250</v>
      </c>
      <c r="G14" s="42">
        <v>2000</v>
      </c>
      <c r="H14" s="23">
        <f>420+250</f>
        <v>670</v>
      </c>
      <c r="I14" s="22">
        <f t="shared" si="0"/>
        <v>1330</v>
      </c>
      <c r="J14" s="22" t="s">
        <v>16</v>
      </c>
      <c r="K14" s="24"/>
      <c r="L14" s="25"/>
    </row>
    <row r="15" spans="1:12" ht="15.75" x14ac:dyDescent="0.25">
      <c r="A15" s="20" t="s">
        <v>17</v>
      </c>
      <c r="B15" s="21" t="s">
        <v>956</v>
      </c>
      <c r="C15" s="28" t="s">
        <v>457</v>
      </c>
      <c r="D15" s="29" t="s">
        <v>432</v>
      </c>
      <c r="E15" s="40" t="s">
        <v>957</v>
      </c>
      <c r="F15" s="22">
        <f>2500+7500</f>
        <v>10000</v>
      </c>
      <c r="G15" s="22">
        <v>15000</v>
      </c>
      <c r="H15" s="23">
        <f>1500+10000</f>
        <v>11500</v>
      </c>
      <c r="I15" s="22">
        <f t="shared" si="0"/>
        <v>3500</v>
      </c>
      <c r="J15" s="22" t="s">
        <v>16</v>
      </c>
      <c r="K15" s="24"/>
      <c r="L15" s="25"/>
    </row>
    <row r="16" spans="1:12" ht="15.75" x14ac:dyDescent="0.25">
      <c r="A16" s="43" t="s">
        <v>30</v>
      </c>
      <c r="B16" s="44" t="s">
        <v>947</v>
      </c>
      <c r="C16" s="45" t="s">
        <v>948</v>
      </c>
      <c r="D16" s="46" t="s">
        <v>93</v>
      </c>
      <c r="E16" s="47" t="s">
        <v>49</v>
      </c>
      <c r="F16" s="48">
        <v>24000</v>
      </c>
      <c r="G16" s="48">
        <v>270000</v>
      </c>
      <c r="H16" s="49">
        <v>141000</v>
      </c>
      <c r="I16" s="48">
        <f>G16-H16</f>
        <v>129000</v>
      </c>
      <c r="J16" s="48" t="s">
        <v>16</v>
      </c>
      <c r="K16" s="50"/>
      <c r="L16" s="51"/>
    </row>
    <row r="17" spans="1:12" ht="16.5" thickBot="1" x14ac:dyDescent="0.3">
      <c r="A17" s="30"/>
      <c r="B17" s="31"/>
      <c r="C17" s="32"/>
      <c r="D17" s="33"/>
      <c r="E17" s="41"/>
      <c r="F17" s="34"/>
      <c r="G17" s="34"/>
      <c r="H17" s="35"/>
      <c r="I17" s="34"/>
      <c r="J17" s="34" t="s">
        <v>64</v>
      </c>
      <c r="K17" s="36"/>
      <c r="L17" s="37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L20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949</v>
      </c>
      <c r="C4" s="26" t="s">
        <v>950</v>
      </c>
      <c r="D4" s="27" t="s">
        <v>364</v>
      </c>
      <c r="E4" s="39" t="s">
        <v>951</v>
      </c>
      <c r="F4" s="16">
        <f>75+3325</f>
        <v>3400</v>
      </c>
      <c r="G4" s="16">
        <v>20000</v>
      </c>
      <c r="H4" s="17">
        <f>3948+3652+1525+3400</f>
        <v>12525</v>
      </c>
      <c r="I4" s="16">
        <f t="shared" ref="I4:I18" si="0">G4-H4</f>
        <v>7475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617</v>
      </c>
      <c r="C5" s="28" t="s">
        <v>1002</v>
      </c>
      <c r="D5" s="29" t="s">
        <v>557</v>
      </c>
      <c r="E5" s="40" t="s">
        <v>1003</v>
      </c>
      <c r="F5" s="22">
        <v>9000</v>
      </c>
      <c r="G5" s="42">
        <v>30000</v>
      </c>
      <c r="H5" s="23">
        <v>9000</v>
      </c>
      <c r="I5" s="22">
        <f t="shared" si="0"/>
        <v>21000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989</v>
      </c>
      <c r="C6" s="28" t="s">
        <v>990</v>
      </c>
      <c r="D6" s="29" t="s">
        <v>65</v>
      </c>
      <c r="E6" s="40" t="s">
        <v>991</v>
      </c>
      <c r="F6" s="22">
        <v>21600</v>
      </c>
      <c r="G6" s="42">
        <v>100000</v>
      </c>
      <c r="H6" s="23">
        <v>83000</v>
      </c>
      <c r="I6" s="22">
        <f t="shared" si="0"/>
        <v>17000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992</v>
      </c>
      <c r="C7" s="28" t="s">
        <v>993</v>
      </c>
      <c r="D7" s="29" t="s">
        <v>240</v>
      </c>
      <c r="E7" s="40" t="s">
        <v>994</v>
      </c>
      <c r="F7" s="22">
        <v>300.8</v>
      </c>
      <c r="G7" s="42">
        <v>1000</v>
      </c>
      <c r="H7" s="23">
        <f>869.7+300.8</f>
        <v>1170.5</v>
      </c>
      <c r="I7" s="22">
        <f t="shared" si="0"/>
        <v>-170.5</v>
      </c>
      <c r="J7" s="22" t="s">
        <v>24</v>
      </c>
      <c r="K7" s="24"/>
      <c r="L7" s="25"/>
    </row>
    <row r="8" spans="1:12" ht="15.75" x14ac:dyDescent="0.25">
      <c r="A8" s="20" t="s">
        <v>30</v>
      </c>
      <c r="B8" s="21" t="s">
        <v>979</v>
      </c>
      <c r="C8" s="28" t="s">
        <v>36</v>
      </c>
      <c r="D8" s="29" t="s">
        <v>37</v>
      </c>
      <c r="E8" s="40" t="s">
        <v>313</v>
      </c>
      <c r="F8" s="22">
        <v>13500</v>
      </c>
      <c r="G8" s="42">
        <v>43000</v>
      </c>
      <c r="H8" s="23">
        <f>22000+7000+13500</f>
        <v>42500</v>
      </c>
      <c r="I8" s="22">
        <f t="shared" si="0"/>
        <v>500</v>
      </c>
      <c r="J8" s="22" t="s">
        <v>16</v>
      </c>
      <c r="K8" s="24"/>
      <c r="L8" s="25"/>
    </row>
    <row r="9" spans="1:12" ht="15.75" x14ac:dyDescent="0.25">
      <c r="A9" s="20" t="s">
        <v>346</v>
      </c>
      <c r="B9" s="21" t="s">
        <v>995</v>
      </c>
      <c r="C9" s="28" t="s">
        <v>15</v>
      </c>
      <c r="D9" s="29" t="s">
        <v>962</v>
      </c>
      <c r="E9" s="40" t="s">
        <v>46</v>
      </c>
      <c r="F9" s="22">
        <v>271.5</v>
      </c>
      <c r="G9" s="42">
        <v>1000</v>
      </c>
      <c r="H9" s="23">
        <v>730</v>
      </c>
      <c r="I9" s="22">
        <f t="shared" si="0"/>
        <v>270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998</v>
      </c>
      <c r="C10" s="28" t="s">
        <v>615</v>
      </c>
      <c r="D10" s="29" t="s">
        <v>996</v>
      </c>
      <c r="E10" s="40" t="s">
        <v>999</v>
      </c>
      <c r="F10" s="22">
        <v>2000</v>
      </c>
      <c r="G10" s="42">
        <v>2000</v>
      </c>
      <c r="H10" s="23">
        <v>2000</v>
      </c>
      <c r="I10" s="22">
        <f t="shared" si="0"/>
        <v>0</v>
      </c>
      <c r="J10" s="22" t="s">
        <v>23</v>
      </c>
      <c r="K10" s="24"/>
      <c r="L10" s="25"/>
    </row>
    <row r="11" spans="1:12" ht="15.75" x14ac:dyDescent="0.25">
      <c r="A11" s="20" t="s">
        <v>21</v>
      </c>
      <c r="B11" s="21" t="s">
        <v>734</v>
      </c>
      <c r="C11" s="28" t="s">
        <v>210</v>
      </c>
      <c r="D11" s="29" t="s">
        <v>18</v>
      </c>
      <c r="E11" s="40" t="s">
        <v>427</v>
      </c>
      <c r="F11" s="22">
        <v>3000</v>
      </c>
      <c r="G11" s="22">
        <v>500000</v>
      </c>
      <c r="H11" s="23">
        <v>12500</v>
      </c>
      <c r="I11" s="22">
        <f t="shared" si="0"/>
        <v>487500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1004</v>
      </c>
      <c r="C12" s="28" t="s">
        <v>1005</v>
      </c>
      <c r="D12" s="29" t="s">
        <v>1006</v>
      </c>
      <c r="E12" s="40" t="s">
        <v>1007</v>
      </c>
      <c r="F12" s="22">
        <v>2886</v>
      </c>
      <c r="G12" s="42">
        <v>3000</v>
      </c>
      <c r="H12" s="23">
        <v>2886</v>
      </c>
      <c r="I12" s="22">
        <f t="shared" si="0"/>
        <v>114</v>
      </c>
      <c r="J12" s="22" t="s">
        <v>16</v>
      </c>
      <c r="K12" s="24"/>
      <c r="L12" s="25"/>
    </row>
    <row r="13" spans="1:12" ht="15.75" x14ac:dyDescent="0.25">
      <c r="A13" s="20" t="s">
        <v>19</v>
      </c>
      <c r="B13" s="21" t="s">
        <v>1008</v>
      </c>
      <c r="C13" s="28" t="s">
        <v>1009</v>
      </c>
      <c r="D13" s="29" t="s">
        <v>1010</v>
      </c>
      <c r="E13" s="40" t="s">
        <v>365</v>
      </c>
      <c r="F13" s="22">
        <v>8040</v>
      </c>
      <c r="G13" s="42">
        <v>8000</v>
      </c>
      <c r="H13" s="23">
        <v>8040</v>
      </c>
      <c r="I13" s="22">
        <f t="shared" si="0"/>
        <v>-40</v>
      </c>
      <c r="J13" s="22" t="s">
        <v>24</v>
      </c>
      <c r="K13" s="24"/>
      <c r="L13" s="25"/>
    </row>
    <row r="14" spans="1:12" ht="15.75" x14ac:dyDescent="0.25">
      <c r="A14" s="20" t="s">
        <v>28</v>
      </c>
      <c r="B14" s="21" t="s">
        <v>1015</v>
      </c>
      <c r="C14" s="28" t="s">
        <v>183</v>
      </c>
      <c r="D14" s="29" t="s">
        <v>1016</v>
      </c>
      <c r="E14" s="40" t="s">
        <v>184</v>
      </c>
      <c r="F14" s="22">
        <v>180.6</v>
      </c>
      <c r="G14" s="42">
        <v>600</v>
      </c>
      <c r="H14" s="23">
        <v>180.6</v>
      </c>
      <c r="I14" s="22">
        <f t="shared" si="0"/>
        <v>419.4</v>
      </c>
      <c r="J14" s="22" t="s">
        <v>16</v>
      </c>
      <c r="K14" s="24"/>
      <c r="L14" s="25"/>
    </row>
    <row r="15" spans="1:12" ht="15.75" x14ac:dyDescent="0.25">
      <c r="A15" s="20" t="s">
        <v>22</v>
      </c>
      <c r="B15" s="21" t="s">
        <v>1013</v>
      </c>
      <c r="C15" s="28" t="s">
        <v>1014</v>
      </c>
      <c r="D15" s="29" t="s">
        <v>1011</v>
      </c>
      <c r="E15" s="40" t="s">
        <v>351</v>
      </c>
      <c r="F15" s="22">
        <v>105.5</v>
      </c>
      <c r="G15" s="42">
        <v>250</v>
      </c>
      <c r="H15" s="23">
        <v>105.5</v>
      </c>
      <c r="I15" s="22">
        <f>G15-H15</f>
        <v>144.5</v>
      </c>
      <c r="J15" s="22" t="s">
        <v>16</v>
      </c>
      <c r="K15" s="24"/>
      <c r="L15" s="25"/>
    </row>
    <row r="16" spans="1:12" ht="15.75" x14ac:dyDescent="0.25">
      <c r="A16" s="20" t="s">
        <v>51</v>
      </c>
      <c r="B16" s="21" t="s">
        <v>971</v>
      </c>
      <c r="C16" s="28" t="s">
        <v>187</v>
      </c>
      <c r="D16" s="29" t="s">
        <v>1011</v>
      </c>
      <c r="E16" s="40" t="s">
        <v>1012</v>
      </c>
      <c r="F16" s="22">
        <f>84.3+102.8</f>
        <v>187.1</v>
      </c>
      <c r="G16" s="42">
        <v>200</v>
      </c>
      <c r="H16" s="23">
        <v>187.1</v>
      </c>
      <c r="I16" s="22">
        <f t="shared" si="0"/>
        <v>12.900000000000006</v>
      </c>
      <c r="J16" s="22" t="s">
        <v>16</v>
      </c>
      <c r="K16" s="24"/>
      <c r="L16" s="25"/>
    </row>
    <row r="17" spans="1:12" ht="15.75" x14ac:dyDescent="0.25">
      <c r="A17" s="20" t="s">
        <v>82</v>
      </c>
      <c r="B17" s="21" t="s">
        <v>67</v>
      </c>
      <c r="C17" s="28" t="s">
        <v>15</v>
      </c>
      <c r="D17" s="29" t="s">
        <v>1000</v>
      </c>
      <c r="E17" s="40" t="s">
        <v>81</v>
      </c>
      <c r="F17" s="22">
        <v>240</v>
      </c>
      <c r="G17" s="42">
        <v>2000</v>
      </c>
      <c r="H17" s="23">
        <f>420+250+240</f>
        <v>910</v>
      </c>
      <c r="I17" s="22">
        <f t="shared" si="0"/>
        <v>1090</v>
      </c>
      <c r="J17" s="22" t="s">
        <v>16</v>
      </c>
      <c r="K17" s="24"/>
      <c r="L17" s="25"/>
    </row>
    <row r="18" spans="1:12" ht="15.75" x14ac:dyDescent="0.25">
      <c r="A18" s="20" t="s">
        <v>17</v>
      </c>
      <c r="B18" s="21" t="s">
        <v>956</v>
      </c>
      <c r="C18" s="28" t="s">
        <v>457</v>
      </c>
      <c r="D18" s="29" t="s">
        <v>432</v>
      </c>
      <c r="E18" s="40" t="s">
        <v>957</v>
      </c>
      <c r="F18" s="22">
        <v>1320</v>
      </c>
      <c r="G18" s="22">
        <v>15000</v>
      </c>
      <c r="H18" s="23">
        <f>1500+10000+1320</f>
        <v>12820</v>
      </c>
      <c r="I18" s="22">
        <f t="shared" si="0"/>
        <v>2180</v>
      </c>
      <c r="J18" s="22" t="s">
        <v>16</v>
      </c>
      <c r="K18" s="24"/>
      <c r="L18" s="25"/>
    </row>
    <row r="19" spans="1:12" ht="15.75" x14ac:dyDescent="0.25">
      <c r="A19" s="43" t="s">
        <v>30</v>
      </c>
      <c r="B19" s="44" t="s">
        <v>1001</v>
      </c>
      <c r="C19" s="45" t="s">
        <v>948</v>
      </c>
      <c r="D19" s="46" t="s">
        <v>93</v>
      </c>
      <c r="E19" s="47" t="s">
        <v>439</v>
      </c>
      <c r="F19" s="48">
        <v>13500</v>
      </c>
      <c r="G19" s="48">
        <v>43000</v>
      </c>
      <c r="H19" s="49">
        <v>42500</v>
      </c>
      <c r="I19" s="48">
        <f>G19-H19</f>
        <v>500</v>
      </c>
      <c r="J19" s="48" t="s">
        <v>16</v>
      </c>
      <c r="K19" s="50"/>
      <c r="L19" s="51"/>
    </row>
    <row r="20" spans="1:12" ht="16.5" thickBot="1" x14ac:dyDescent="0.3">
      <c r="A20" s="30"/>
      <c r="B20" s="31"/>
      <c r="C20" s="32"/>
      <c r="D20" s="33"/>
      <c r="E20" s="41"/>
      <c r="F20" s="34"/>
      <c r="G20" s="34"/>
      <c r="H20" s="35"/>
      <c r="I20" s="34"/>
      <c r="J20" s="34" t="s">
        <v>64</v>
      </c>
      <c r="K20" s="36"/>
      <c r="L20" s="37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L23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949</v>
      </c>
      <c r="C4" s="26" t="s">
        <v>950</v>
      </c>
      <c r="D4" s="27" t="s">
        <v>364</v>
      </c>
      <c r="E4" s="39" t="s">
        <v>951</v>
      </c>
      <c r="F4" s="16">
        <f>225+4075+150</f>
        <v>4450</v>
      </c>
      <c r="G4" s="16">
        <v>20000</v>
      </c>
      <c r="H4" s="17">
        <f>3948+3652+1525+3400+4075+225+150</f>
        <v>16975</v>
      </c>
      <c r="I4" s="16">
        <f t="shared" ref="I4:I21" si="0">G4-H4</f>
        <v>3025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1017</v>
      </c>
      <c r="C5" s="28" t="s">
        <v>1002</v>
      </c>
      <c r="D5" s="29" t="s">
        <v>557</v>
      </c>
      <c r="E5" s="40" t="s">
        <v>1003</v>
      </c>
      <c r="F5" s="22">
        <v>1970</v>
      </c>
      <c r="G5" s="42">
        <v>30000</v>
      </c>
      <c r="H5" s="23">
        <f>9000+1970</f>
        <v>10970</v>
      </c>
      <c r="I5" s="22">
        <f t="shared" si="0"/>
        <v>19030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989</v>
      </c>
      <c r="C6" s="28" t="s">
        <v>990</v>
      </c>
      <c r="D6" s="29" t="s">
        <v>65</v>
      </c>
      <c r="E6" s="40" t="s">
        <v>991</v>
      </c>
      <c r="F6" s="22">
        <v>35200</v>
      </c>
      <c r="G6" s="42">
        <v>100000</v>
      </c>
      <c r="H6" s="23">
        <v>100170</v>
      </c>
      <c r="I6" s="22">
        <f t="shared" si="0"/>
        <v>-170</v>
      </c>
      <c r="J6" s="22" t="s">
        <v>24</v>
      </c>
      <c r="K6" s="24"/>
      <c r="L6" s="25"/>
    </row>
    <row r="7" spans="1:12" ht="15.75" x14ac:dyDescent="0.25">
      <c r="A7" s="20" t="s">
        <v>231</v>
      </c>
      <c r="B7" s="21" t="s">
        <v>1018</v>
      </c>
      <c r="C7" s="28" t="s">
        <v>1019</v>
      </c>
      <c r="D7" s="29" t="s">
        <v>240</v>
      </c>
      <c r="E7" s="40" t="s">
        <v>1020</v>
      </c>
      <c r="F7" s="22">
        <v>347.4</v>
      </c>
      <c r="G7" s="42">
        <v>500</v>
      </c>
      <c r="H7" s="23">
        <v>347.4</v>
      </c>
      <c r="I7" s="22">
        <f t="shared" si="0"/>
        <v>152.60000000000002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961</v>
      </c>
      <c r="C8" s="28" t="s">
        <v>397</v>
      </c>
      <c r="D8" s="29" t="s">
        <v>586</v>
      </c>
      <c r="E8" s="40" t="s">
        <v>399</v>
      </c>
      <c r="F8" s="22">
        <f>2000+12190</f>
        <v>14190</v>
      </c>
      <c r="G8" s="42">
        <v>20000</v>
      </c>
      <c r="H8" s="23">
        <v>14190</v>
      </c>
      <c r="I8" s="22">
        <f>G8-H8</f>
        <v>5810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1031</v>
      </c>
      <c r="C9" s="28" t="s">
        <v>15</v>
      </c>
      <c r="D9" s="29" t="s">
        <v>18</v>
      </c>
      <c r="E9" s="40" t="s">
        <v>1032</v>
      </c>
      <c r="F9" s="22">
        <v>5000</v>
      </c>
      <c r="G9" s="42">
        <v>5000</v>
      </c>
      <c r="H9" s="23">
        <v>5000</v>
      </c>
      <c r="I9" s="22">
        <f>G9-H9</f>
        <v>0</v>
      </c>
      <c r="J9" s="22" t="s">
        <v>23</v>
      </c>
      <c r="K9" s="24"/>
      <c r="L9" s="25"/>
    </row>
    <row r="10" spans="1:12" ht="15.75" x14ac:dyDescent="0.25">
      <c r="A10" s="20" t="s">
        <v>21</v>
      </c>
      <c r="B10" s="21" t="s">
        <v>734</v>
      </c>
      <c r="C10" s="28" t="s">
        <v>15</v>
      </c>
      <c r="D10" s="29" t="s">
        <v>1030</v>
      </c>
      <c r="E10" s="40" t="s">
        <v>940</v>
      </c>
      <c r="F10" s="22">
        <v>30000</v>
      </c>
      <c r="G10" s="42">
        <v>1000000</v>
      </c>
      <c r="H10" s="23">
        <v>30000</v>
      </c>
      <c r="I10" s="22">
        <f>G10-H10</f>
        <v>970000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734</v>
      </c>
      <c r="C11" s="28" t="s">
        <v>15</v>
      </c>
      <c r="D11" s="29" t="s">
        <v>344</v>
      </c>
      <c r="E11" s="40" t="s">
        <v>220</v>
      </c>
      <c r="F11" s="22">
        <v>330</v>
      </c>
      <c r="G11" s="42">
        <v>30000</v>
      </c>
      <c r="H11" s="23">
        <v>6330</v>
      </c>
      <c r="I11" s="22">
        <f t="shared" si="0"/>
        <v>23670</v>
      </c>
      <c r="J11" s="22" t="s">
        <v>16</v>
      </c>
      <c r="K11" s="24"/>
      <c r="L11" s="25"/>
    </row>
    <row r="12" spans="1:12" ht="15.75" x14ac:dyDescent="0.25">
      <c r="A12" s="20" t="s">
        <v>346</v>
      </c>
      <c r="B12" s="21" t="s">
        <v>995</v>
      </c>
      <c r="C12" s="28" t="s">
        <v>15</v>
      </c>
      <c r="D12" s="29" t="s">
        <v>962</v>
      </c>
      <c r="E12" s="40" t="s">
        <v>46</v>
      </c>
      <c r="F12" s="22">
        <v>303.10000000000002</v>
      </c>
      <c r="G12" s="42">
        <v>1000</v>
      </c>
      <c r="H12" s="23">
        <f>730+303.1</f>
        <v>1033.0999999999999</v>
      </c>
      <c r="I12" s="22">
        <f t="shared" si="0"/>
        <v>-33.099999999999909</v>
      </c>
      <c r="J12" s="22" t="s">
        <v>24</v>
      </c>
      <c r="K12" s="24"/>
      <c r="L12" s="25"/>
    </row>
    <row r="13" spans="1:12" ht="15.75" x14ac:dyDescent="0.25">
      <c r="A13" s="20" t="s">
        <v>22</v>
      </c>
      <c r="B13" s="21" t="s">
        <v>1028</v>
      </c>
      <c r="C13" s="28" t="s">
        <v>434</v>
      </c>
      <c r="D13" s="29" t="s">
        <v>1029</v>
      </c>
      <c r="E13" s="40" t="s">
        <v>351</v>
      </c>
      <c r="F13" s="22">
        <v>96</v>
      </c>
      <c r="G13" s="42">
        <v>585.5</v>
      </c>
      <c r="H13" s="23">
        <v>96</v>
      </c>
      <c r="I13" s="22">
        <f t="shared" si="0"/>
        <v>489.5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1021</v>
      </c>
      <c r="C14" s="28" t="s">
        <v>210</v>
      </c>
      <c r="D14" s="29" t="s">
        <v>1011</v>
      </c>
      <c r="E14" s="40" t="s">
        <v>212</v>
      </c>
      <c r="F14" s="22">
        <v>587.70000000000005</v>
      </c>
      <c r="G14" s="22">
        <v>6000</v>
      </c>
      <c r="H14" s="23">
        <v>587.70000000000005</v>
      </c>
      <c r="I14" s="22">
        <f t="shared" si="0"/>
        <v>5412.3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1026</v>
      </c>
      <c r="C15" s="28" t="s">
        <v>541</v>
      </c>
      <c r="D15" s="29" t="s">
        <v>27</v>
      </c>
      <c r="E15" s="40" t="s">
        <v>1027</v>
      </c>
      <c r="F15" s="22">
        <v>12630</v>
      </c>
      <c r="G15" s="42">
        <v>20000</v>
      </c>
      <c r="H15" s="23">
        <v>12630</v>
      </c>
      <c r="I15" s="22">
        <f t="shared" si="0"/>
        <v>7370</v>
      </c>
      <c r="J15" s="22" t="s">
        <v>16</v>
      </c>
      <c r="K15" s="24"/>
      <c r="L15" s="25"/>
    </row>
    <row r="16" spans="1:12" ht="15.75" x14ac:dyDescent="0.25">
      <c r="A16" s="20" t="s">
        <v>20</v>
      </c>
      <c r="B16" s="21" t="s">
        <v>1022</v>
      </c>
      <c r="C16" s="28" t="s">
        <v>1023</v>
      </c>
      <c r="D16" s="29" t="s">
        <v>1010</v>
      </c>
      <c r="E16" s="40" t="s">
        <v>470</v>
      </c>
      <c r="F16" s="22">
        <v>4920</v>
      </c>
      <c r="G16" s="42">
        <v>30000</v>
      </c>
      <c r="H16" s="23">
        <v>4920</v>
      </c>
      <c r="I16" s="22">
        <f t="shared" si="0"/>
        <v>25080</v>
      </c>
      <c r="J16" s="22" t="s">
        <v>16</v>
      </c>
      <c r="K16" s="24"/>
      <c r="L16" s="25"/>
    </row>
    <row r="17" spans="1:12" ht="15.75" x14ac:dyDescent="0.25">
      <c r="A17" s="20" t="s">
        <v>28</v>
      </c>
      <c r="B17" s="21" t="s">
        <v>1015</v>
      </c>
      <c r="C17" s="28" t="s">
        <v>183</v>
      </c>
      <c r="D17" s="29" t="s">
        <v>1016</v>
      </c>
      <c r="E17" s="40" t="s">
        <v>184</v>
      </c>
      <c r="F17" s="22">
        <v>50.2</v>
      </c>
      <c r="G17" s="42">
        <v>600</v>
      </c>
      <c r="H17" s="23">
        <f>180.6+50.2</f>
        <v>230.8</v>
      </c>
      <c r="I17" s="22">
        <f t="shared" si="0"/>
        <v>369.2</v>
      </c>
      <c r="J17" s="22" t="s">
        <v>16</v>
      </c>
      <c r="K17" s="24"/>
      <c r="L17" s="25"/>
    </row>
    <row r="18" spans="1:12" ht="15.75" x14ac:dyDescent="0.25">
      <c r="A18" s="20" t="s">
        <v>22</v>
      </c>
      <c r="B18" s="21" t="s">
        <v>1013</v>
      </c>
      <c r="C18" s="28" t="s">
        <v>1014</v>
      </c>
      <c r="D18" s="29" t="s">
        <v>1011</v>
      </c>
      <c r="E18" s="40" t="s">
        <v>351</v>
      </c>
      <c r="F18" s="22">
        <v>170.3</v>
      </c>
      <c r="G18" s="42">
        <v>250</v>
      </c>
      <c r="H18" s="23">
        <f>105.5+170.3</f>
        <v>275.8</v>
      </c>
      <c r="I18" s="22">
        <f>G18-H18</f>
        <v>-25.800000000000011</v>
      </c>
      <c r="J18" s="22" t="s">
        <v>24</v>
      </c>
      <c r="K18" s="24"/>
      <c r="L18" s="25"/>
    </row>
    <row r="19" spans="1:12" ht="15.75" x14ac:dyDescent="0.25">
      <c r="A19" s="20" t="s">
        <v>51</v>
      </c>
      <c r="B19" s="21" t="s">
        <v>971</v>
      </c>
      <c r="C19" s="28" t="s">
        <v>187</v>
      </c>
      <c r="D19" s="29" t="s">
        <v>1011</v>
      </c>
      <c r="E19" s="40" t="s">
        <v>1012</v>
      </c>
      <c r="F19" s="22">
        <v>17.8</v>
      </c>
      <c r="G19" s="42">
        <v>200</v>
      </c>
      <c r="H19" s="23">
        <f>187.1+17.8</f>
        <v>204.9</v>
      </c>
      <c r="I19" s="22">
        <f t="shared" si="0"/>
        <v>-4.9000000000000057</v>
      </c>
      <c r="J19" s="22" t="s">
        <v>23</v>
      </c>
      <c r="K19" s="24"/>
      <c r="L19" s="25"/>
    </row>
    <row r="20" spans="1:12" ht="15.75" x14ac:dyDescent="0.25">
      <c r="A20" s="20" t="s">
        <v>82</v>
      </c>
      <c r="B20" s="21" t="s">
        <v>1024</v>
      </c>
      <c r="C20" s="28" t="s">
        <v>15</v>
      </c>
      <c r="D20" s="29" t="s">
        <v>1000</v>
      </c>
      <c r="E20" s="40" t="s">
        <v>81</v>
      </c>
      <c r="F20" s="22">
        <v>355</v>
      </c>
      <c r="G20" s="42">
        <v>2000</v>
      </c>
      <c r="H20" s="23">
        <v>355</v>
      </c>
      <c r="I20" s="22">
        <f t="shared" si="0"/>
        <v>1645</v>
      </c>
      <c r="J20" s="22" t="s">
        <v>16</v>
      </c>
      <c r="K20" s="24"/>
      <c r="L20" s="25"/>
    </row>
    <row r="21" spans="1:12" ht="15.75" x14ac:dyDescent="0.25">
      <c r="A21" s="20" t="s">
        <v>152</v>
      </c>
      <c r="B21" s="21" t="s">
        <v>1025</v>
      </c>
      <c r="C21" s="28" t="s">
        <v>137</v>
      </c>
      <c r="D21" s="29" t="s">
        <v>237</v>
      </c>
      <c r="E21" s="40" t="s">
        <v>331</v>
      </c>
      <c r="F21" s="22">
        <v>338.5</v>
      </c>
      <c r="G21" s="22">
        <v>360</v>
      </c>
      <c r="H21" s="23">
        <v>338.5</v>
      </c>
      <c r="I21" s="22">
        <f t="shared" si="0"/>
        <v>21.5</v>
      </c>
      <c r="J21" s="22" t="s">
        <v>16</v>
      </c>
      <c r="K21" s="24"/>
      <c r="L21" s="25"/>
    </row>
    <row r="22" spans="1:12" ht="15.75" x14ac:dyDescent="0.25">
      <c r="A22" s="43" t="s">
        <v>30</v>
      </c>
      <c r="B22" s="44" t="s">
        <v>1001</v>
      </c>
      <c r="C22" s="45" t="s">
        <v>948</v>
      </c>
      <c r="D22" s="46" t="s">
        <v>93</v>
      </c>
      <c r="E22" s="47" t="s">
        <v>439</v>
      </c>
      <c r="F22" s="48">
        <v>12000</v>
      </c>
      <c r="G22" s="48">
        <v>88000</v>
      </c>
      <c r="H22" s="49">
        <f>42500+12000</f>
        <v>54500</v>
      </c>
      <c r="I22" s="48">
        <f>G22-H22</f>
        <v>33500</v>
      </c>
      <c r="J22" s="48" t="s">
        <v>16</v>
      </c>
      <c r="K22" s="50"/>
      <c r="L22" s="51"/>
    </row>
    <row r="23" spans="1:12" ht="16.5" thickBot="1" x14ac:dyDescent="0.3">
      <c r="A23" s="30"/>
      <c r="B23" s="31"/>
      <c r="C23" s="32"/>
      <c r="D23" s="33"/>
      <c r="E23" s="41"/>
      <c r="F23" s="34"/>
      <c r="G23" s="34"/>
      <c r="H23" s="35"/>
      <c r="I23" s="34"/>
      <c r="J23" s="34" t="s">
        <v>64</v>
      </c>
      <c r="K23" s="36"/>
      <c r="L23" s="37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L21"/>
  <sheetViews>
    <sheetView workbookViewId="0">
      <pane xSplit="3" topLeftCell="D1" activePane="topRight" state="frozen"/>
      <selection pane="topRight" activeCell="A17" sqref="A17:XFD1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949</v>
      </c>
      <c r="C4" s="26" t="s">
        <v>950</v>
      </c>
      <c r="D4" s="27" t="s">
        <v>364</v>
      </c>
      <c r="E4" s="39" t="s">
        <v>951</v>
      </c>
      <c r="F4" s="16">
        <v>3025</v>
      </c>
      <c r="G4" s="16">
        <v>20000</v>
      </c>
      <c r="H4" s="17">
        <f>3948+3652+1525+3400+4075+225+150+3025</f>
        <v>20000</v>
      </c>
      <c r="I4" s="16">
        <f t="shared" ref="I4:I19" si="0">G4-H4</f>
        <v>0</v>
      </c>
      <c r="J4" s="16" t="s">
        <v>23</v>
      </c>
      <c r="K4" s="18"/>
      <c r="L4" s="19"/>
    </row>
    <row r="5" spans="1:12" ht="15.75" x14ac:dyDescent="0.25">
      <c r="A5" s="20" t="s">
        <v>14</v>
      </c>
      <c r="B5" s="21" t="s">
        <v>976</v>
      </c>
      <c r="C5" s="28" t="s">
        <v>214</v>
      </c>
      <c r="D5" s="29" t="s">
        <v>215</v>
      </c>
      <c r="E5" s="40" t="s">
        <v>216</v>
      </c>
      <c r="F5" s="22">
        <v>8500</v>
      </c>
      <c r="G5" s="42">
        <v>30000</v>
      </c>
      <c r="H5" s="23">
        <v>8500</v>
      </c>
      <c r="I5" s="22">
        <f t="shared" si="0"/>
        <v>21500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734</v>
      </c>
      <c r="C6" s="28" t="s">
        <v>15</v>
      </c>
      <c r="D6" s="29" t="s">
        <v>18</v>
      </c>
      <c r="E6" s="40" t="s">
        <v>1040</v>
      </c>
      <c r="F6" s="22">
        <f>1000</f>
        <v>1000</v>
      </c>
      <c r="G6" s="42">
        <v>40000</v>
      </c>
      <c r="H6" s="23">
        <v>1000</v>
      </c>
      <c r="I6" s="22">
        <f t="shared" si="0"/>
        <v>39000</v>
      </c>
      <c r="J6" s="22" t="s">
        <v>16</v>
      </c>
      <c r="K6" s="24"/>
      <c r="L6" s="25"/>
    </row>
    <row r="7" spans="1:12" ht="15.75" x14ac:dyDescent="0.25">
      <c r="A7" s="20" t="s">
        <v>231</v>
      </c>
      <c r="B7" s="21" t="s">
        <v>1018</v>
      </c>
      <c r="C7" s="28" t="s">
        <v>1019</v>
      </c>
      <c r="D7" s="29" t="s">
        <v>240</v>
      </c>
      <c r="E7" s="40" t="s">
        <v>1020</v>
      </c>
      <c r="F7" s="22">
        <v>152.69999999999999</v>
      </c>
      <c r="G7" s="42">
        <v>500</v>
      </c>
      <c r="H7" s="23">
        <f>347.4+152.07</f>
        <v>499.46999999999997</v>
      </c>
      <c r="I7" s="22">
        <f t="shared" si="0"/>
        <v>0.53000000000002956</v>
      </c>
      <c r="J7" s="22" t="s">
        <v>23</v>
      </c>
      <c r="K7" s="24"/>
      <c r="L7" s="25"/>
    </row>
    <row r="8" spans="1:12" ht="15.75" x14ac:dyDescent="0.25">
      <c r="A8" s="20" t="s">
        <v>14</v>
      </c>
      <c r="B8" s="21" t="s">
        <v>1041</v>
      </c>
      <c r="C8" s="28" t="s">
        <v>431</v>
      </c>
      <c r="D8" s="29" t="s">
        <v>432</v>
      </c>
      <c r="E8" s="40" t="s">
        <v>365</v>
      </c>
      <c r="F8" s="22">
        <v>7057</v>
      </c>
      <c r="G8" s="42">
        <v>7000</v>
      </c>
      <c r="H8" s="23">
        <v>7057</v>
      </c>
      <c r="I8" s="22">
        <f>G8-H8</f>
        <v>-57</v>
      </c>
      <c r="J8" s="22" t="s">
        <v>24</v>
      </c>
      <c r="K8" s="24"/>
      <c r="L8" s="25"/>
    </row>
    <row r="9" spans="1:12" ht="15.75" x14ac:dyDescent="0.25">
      <c r="A9" s="20" t="s">
        <v>30</v>
      </c>
      <c r="B9" s="21" t="s">
        <v>1042</v>
      </c>
      <c r="C9" s="28" t="s">
        <v>1043</v>
      </c>
      <c r="D9" s="29" t="s">
        <v>407</v>
      </c>
      <c r="E9" s="40" t="s">
        <v>49</v>
      </c>
      <c r="F9" s="22">
        <v>18000</v>
      </c>
      <c r="G9" s="42">
        <v>18000</v>
      </c>
      <c r="H9" s="23">
        <v>18000</v>
      </c>
      <c r="I9" s="22">
        <f>G9-H9</f>
        <v>0</v>
      </c>
      <c r="J9" s="22" t="s">
        <v>23</v>
      </c>
      <c r="K9" s="24"/>
      <c r="L9" s="25"/>
    </row>
    <row r="10" spans="1:12" ht="15.75" x14ac:dyDescent="0.25">
      <c r="A10" s="20" t="s">
        <v>21</v>
      </c>
      <c r="B10" s="21" t="s">
        <v>734</v>
      </c>
      <c r="C10" s="28" t="s">
        <v>15</v>
      </c>
      <c r="D10" s="29" t="s">
        <v>1030</v>
      </c>
      <c r="E10" s="40" t="s">
        <v>940</v>
      </c>
      <c r="F10" s="22">
        <v>80000</v>
      </c>
      <c r="G10" s="42">
        <v>1000000</v>
      </c>
      <c r="H10" s="23">
        <f>30000+80000</f>
        <v>110000</v>
      </c>
      <c r="I10" s="22">
        <f>G10-H10</f>
        <v>890000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1037</v>
      </c>
      <c r="C11" s="28" t="s">
        <v>15</v>
      </c>
      <c r="D11" s="29" t="s">
        <v>250</v>
      </c>
      <c r="E11" s="40" t="s">
        <v>848</v>
      </c>
      <c r="F11" s="22">
        <f>8000+11000</f>
        <v>19000</v>
      </c>
      <c r="G11" s="42">
        <v>30000</v>
      </c>
      <c r="H11" s="23">
        <f>8000+11000</f>
        <v>19000</v>
      </c>
      <c r="I11" s="22">
        <f t="shared" si="0"/>
        <v>11000</v>
      </c>
      <c r="J11" s="22" t="s">
        <v>16</v>
      </c>
      <c r="K11" s="24"/>
      <c r="L11" s="25"/>
    </row>
    <row r="12" spans="1:12" ht="15.75" x14ac:dyDescent="0.25">
      <c r="A12" s="20" t="s">
        <v>346</v>
      </c>
      <c r="B12" s="21" t="s">
        <v>519</v>
      </c>
      <c r="C12" s="28" t="s">
        <v>15</v>
      </c>
      <c r="D12" s="29" t="s">
        <v>962</v>
      </c>
      <c r="E12" s="40" t="s">
        <v>46</v>
      </c>
      <c r="F12" s="22">
        <v>184.2</v>
      </c>
      <c r="G12" s="42">
        <v>1000</v>
      </c>
      <c r="H12" s="23">
        <v>184.2</v>
      </c>
      <c r="I12" s="22">
        <f t="shared" si="0"/>
        <v>815.8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1038</v>
      </c>
      <c r="C13" s="28" t="s">
        <v>34</v>
      </c>
      <c r="D13" s="29" t="s">
        <v>18</v>
      </c>
      <c r="E13" s="40" t="s">
        <v>1039</v>
      </c>
      <c r="F13" s="22">
        <f>1500+3750+8000</f>
        <v>13250</v>
      </c>
      <c r="G13" s="42">
        <v>100000</v>
      </c>
      <c r="H13" s="23">
        <v>13250</v>
      </c>
      <c r="I13" s="22">
        <f t="shared" si="0"/>
        <v>86750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1021</v>
      </c>
      <c r="C14" s="28" t="s">
        <v>210</v>
      </c>
      <c r="D14" s="29" t="s">
        <v>1011</v>
      </c>
      <c r="E14" s="40" t="s">
        <v>212</v>
      </c>
      <c r="F14" s="22">
        <v>451.3</v>
      </c>
      <c r="G14" s="22">
        <v>6000</v>
      </c>
      <c r="H14" s="23">
        <f>587.7+451.3</f>
        <v>1039</v>
      </c>
      <c r="I14" s="22">
        <f t="shared" si="0"/>
        <v>4961</v>
      </c>
      <c r="J14" s="22" t="s">
        <v>16</v>
      </c>
      <c r="K14" s="24"/>
      <c r="L14" s="25"/>
    </row>
    <row r="15" spans="1:12" ht="15.75" x14ac:dyDescent="0.25">
      <c r="A15" s="20" t="s">
        <v>28</v>
      </c>
      <c r="B15" s="21" t="s">
        <v>1015</v>
      </c>
      <c r="C15" s="28" t="s">
        <v>183</v>
      </c>
      <c r="D15" s="29" t="s">
        <v>1016</v>
      </c>
      <c r="E15" s="40" t="s">
        <v>184</v>
      </c>
      <c r="F15" s="22">
        <f>160+200.6</f>
        <v>360.6</v>
      </c>
      <c r="G15" s="42">
        <v>600</v>
      </c>
      <c r="H15" s="23">
        <f>180.6+50.2+160+200.6</f>
        <v>591.4</v>
      </c>
      <c r="I15" s="22">
        <f t="shared" si="0"/>
        <v>8.6000000000000227</v>
      </c>
      <c r="J15" s="22" t="s">
        <v>23</v>
      </c>
      <c r="K15" s="24"/>
      <c r="L15" s="25"/>
    </row>
    <row r="16" spans="1:12" ht="15.75" x14ac:dyDescent="0.25">
      <c r="A16" s="20" t="s">
        <v>28</v>
      </c>
      <c r="B16" s="21" t="s">
        <v>1036</v>
      </c>
      <c r="C16" s="28" t="s">
        <v>15</v>
      </c>
      <c r="D16" s="29" t="s">
        <v>344</v>
      </c>
      <c r="E16" s="40" t="s">
        <v>361</v>
      </c>
      <c r="F16" s="22">
        <v>4000</v>
      </c>
      <c r="G16" s="42">
        <v>20000</v>
      </c>
      <c r="H16" s="23">
        <v>4000</v>
      </c>
      <c r="I16" s="22">
        <f>G16-H16</f>
        <v>16000</v>
      </c>
      <c r="J16" s="22" t="s">
        <v>16</v>
      </c>
      <c r="K16" s="24"/>
      <c r="L16" s="25"/>
    </row>
    <row r="17" spans="1:12" ht="15.75" x14ac:dyDescent="0.25">
      <c r="A17" s="20" t="s">
        <v>22</v>
      </c>
      <c r="B17" s="21" t="s">
        <v>1034</v>
      </c>
      <c r="C17" s="28" t="s">
        <v>1035</v>
      </c>
      <c r="D17" s="29" t="s">
        <v>1011</v>
      </c>
      <c r="E17" s="40" t="s">
        <v>351</v>
      </c>
      <c r="F17" s="22">
        <v>96.4</v>
      </c>
      <c r="G17" s="42">
        <v>100</v>
      </c>
      <c r="H17" s="23">
        <v>96.4</v>
      </c>
      <c r="I17" s="22">
        <f t="shared" si="0"/>
        <v>3.5999999999999943</v>
      </c>
      <c r="J17" s="22" t="s">
        <v>23</v>
      </c>
      <c r="K17" s="24"/>
      <c r="L17" s="25"/>
    </row>
    <row r="18" spans="1:12" ht="15.75" x14ac:dyDescent="0.25">
      <c r="A18" s="20" t="s">
        <v>82</v>
      </c>
      <c r="B18" s="21" t="s">
        <v>1024</v>
      </c>
      <c r="C18" s="28" t="s">
        <v>15</v>
      </c>
      <c r="D18" s="29" t="s">
        <v>1000</v>
      </c>
      <c r="E18" s="40" t="s">
        <v>81</v>
      </c>
      <c r="F18" s="22">
        <v>380</v>
      </c>
      <c r="G18" s="42">
        <v>2000</v>
      </c>
      <c r="H18" s="23">
        <f>355+380</f>
        <v>735</v>
      </c>
      <c r="I18" s="22">
        <f t="shared" si="0"/>
        <v>1265</v>
      </c>
      <c r="J18" s="22" t="s">
        <v>16</v>
      </c>
      <c r="K18" s="24"/>
      <c r="L18" s="25"/>
    </row>
    <row r="19" spans="1:12" ht="15.75" x14ac:dyDescent="0.25">
      <c r="A19" s="20" t="s">
        <v>152</v>
      </c>
      <c r="B19" s="21" t="s">
        <v>1033</v>
      </c>
      <c r="C19" s="28" t="s">
        <v>15</v>
      </c>
      <c r="D19" s="29" t="s">
        <v>240</v>
      </c>
      <c r="E19" s="40" t="s">
        <v>72</v>
      </c>
      <c r="F19" s="22">
        <v>571.5</v>
      </c>
      <c r="G19" s="22">
        <v>1000</v>
      </c>
      <c r="H19" s="23">
        <v>571.5</v>
      </c>
      <c r="I19" s="22">
        <f t="shared" si="0"/>
        <v>428.5</v>
      </c>
      <c r="J19" s="22" t="s">
        <v>16</v>
      </c>
      <c r="K19" s="24"/>
      <c r="L19" s="25"/>
    </row>
    <row r="20" spans="1:12" ht="15.75" x14ac:dyDescent="0.25">
      <c r="A20" s="43" t="s">
        <v>30</v>
      </c>
      <c r="B20" s="44" t="s">
        <v>1001</v>
      </c>
      <c r="C20" s="45" t="s">
        <v>948</v>
      </c>
      <c r="D20" s="46" t="s">
        <v>93</v>
      </c>
      <c r="E20" s="47" t="s">
        <v>439</v>
      </c>
      <c r="F20" s="48">
        <v>10500</v>
      </c>
      <c r="G20" s="48">
        <v>88000</v>
      </c>
      <c r="H20" s="49">
        <f>42500+12000+10500</f>
        <v>65000</v>
      </c>
      <c r="I20" s="48">
        <f>G20-H20</f>
        <v>23000</v>
      </c>
      <c r="J20" s="48" t="s">
        <v>16</v>
      </c>
      <c r="K20" s="50"/>
      <c r="L20" s="51"/>
    </row>
    <row r="21" spans="1:12" ht="16.5" thickBot="1" x14ac:dyDescent="0.3">
      <c r="A21" s="30"/>
      <c r="B21" s="31"/>
      <c r="C21" s="32"/>
      <c r="D21" s="33"/>
      <c r="E21" s="41"/>
      <c r="F21" s="34"/>
      <c r="G21" s="34"/>
      <c r="H21" s="35"/>
      <c r="I21" s="34"/>
      <c r="J21" s="34" t="s">
        <v>64</v>
      </c>
      <c r="K21" s="36"/>
      <c r="L21" s="37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L56"/>
  <sheetViews>
    <sheetView topLeftCell="A4" workbookViewId="0">
      <pane xSplit="3" topLeftCell="D1" activePane="topRight" state="frozen"/>
      <selection pane="topRight" activeCell="A14" sqref="A14:XFD14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1044</v>
      </c>
      <c r="C4" s="26" t="s">
        <v>950</v>
      </c>
      <c r="D4" s="27" t="s">
        <v>364</v>
      </c>
      <c r="E4" s="39" t="s">
        <v>951</v>
      </c>
      <c r="F4" s="16">
        <v>650</v>
      </c>
      <c r="G4" s="16">
        <v>45000</v>
      </c>
      <c r="H4" s="17">
        <v>6500</v>
      </c>
      <c r="I4" s="16">
        <f t="shared" ref="I4:I18" si="0">G4-H4</f>
        <v>38500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1047</v>
      </c>
      <c r="C5" s="28" t="s">
        <v>1048</v>
      </c>
      <c r="D5" s="29" t="s">
        <v>73</v>
      </c>
      <c r="E5" s="40" t="s">
        <v>1049</v>
      </c>
      <c r="F5" s="22">
        <v>3100</v>
      </c>
      <c r="G5" s="42">
        <v>10800</v>
      </c>
      <c r="H5" s="23">
        <v>3100</v>
      </c>
      <c r="I5" s="22">
        <f t="shared" si="0"/>
        <v>7700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1045</v>
      </c>
      <c r="C6" s="28" t="s">
        <v>15</v>
      </c>
      <c r="D6" s="29" t="s">
        <v>18</v>
      </c>
      <c r="E6" s="40" t="s">
        <v>1040</v>
      </c>
      <c r="F6" s="22">
        <v>8000</v>
      </c>
      <c r="G6" s="42">
        <v>40000</v>
      </c>
      <c r="H6" s="23">
        <f>1000+8000</f>
        <v>9000</v>
      </c>
      <c r="I6" s="22">
        <f t="shared" si="0"/>
        <v>31000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1028</v>
      </c>
      <c r="C7" s="28" t="s">
        <v>434</v>
      </c>
      <c r="D7" s="29" t="s">
        <v>1029</v>
      </c>
      <c r="E7" s="40" t="s">
        <v>351</v>
      </c>
      <c r="F7" s="22">
        <v>191.55</v>
      </c>
      <c r="G7" s="42">
        <v>500</v>
      </c>
      <c r="H7" s="23">
        <v>191.55</v>
      </c>
      <c r="I7" s="22">
        <f t="shared" si="0"/>
        <v>308.45</v>
      </c>
      <c r="J7" s="22" t="s">
        <v>16</v>
      </c>
      <c r="K7" s="24"/>
      <c r="L7" s="25"/>
    </row>
    <row r="8" spans="1:12" ht="15.75" x14ac:dyDescent="0.25">
      <c r="A8" s="20" t="s">
        <v>17</v>
      </c>
      <c r="B8" s="21" t="s">
        <v>128</v>
      </c>
      <c r="C8" s="28" t="s">
        <v>32</v>
      </c>
      <c r="D8" s="29" t="s">
        <v>18</v>
      </c>
      <c r="E8" s="40" t="s">
        <v>33</v>
      </c>
      <c r="F8" s="22">
        <v>1429</v>
      </c>
      <c r="G8" s="42">
        <v>20000</v>
      </c>
      <c r="H8" s="23">
        <v>1429</v>
      </c>
      <c r="I8" s="22">
        <f>G8-H8</f>
        <v>18571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1050</v>
      </c>
      <c r="C9" s="28" t="s">
        <v>32</v>
      </c>
      <c r="D9" s="29" t="s">
        <v>18</v>
      </c>
      <c r="E9" s="40" t="s">
        <v>776</v>
      </c>
      <c r="F9" s="22">
        <v>1293</v>
      </c>
      <c r="G9" s="42">
        <v>10000</v>
      </c>
      <c r="H9" s="23">
        <v>1293</v>
      </c>
      <c r="I9" s="22">
        <f>G9-H9</f>
        <v>8707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734</v>
      </c>
      <c r="C10" s="28" t="s">
        <v>15</v>
      </c>
      <c r="D10" s="29" t="s">
        <v>1030</v>
      </c>
      <c r="E10" s="40" t="s">
        <v>940</v>
      </c>
      <c r="F10" s="22">
        <v>440000</v>
      </c>
      <c r="G10" s="42">
        <v>1000000</v>
      </c>
      <c r="H10" s="23">
        <f>30000+80000+440000</f>
        <v>550000</v>
      </c>
      <c r="I10" s="22">
        <f>G10-H10</f>
        <v>450000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1046</v>
      </c>
      <c r="C11" s="28" t="s">
        <v>15</v>
      </c>
      <c r="D11" s="29" t="s">
        <v>53</v>
      </c>
      <c r="E11" s="40" t="s">
        <v>369</v>
      </c>
      <c r="F11" s="22">
        <v>48000</v>
      </c>
      <c r="G11" s="42">
        <v>50000</v>
      </c>
      <c r="H11" s="23">
        <v>48000</v>
      </c>
      <c r="I11" s="22">
        <f t="shared" si="0"/>
        <v>2000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685</v>
      </c>
      <c r="C12" s="28" t="s">
        <v>357</v>
      </c>
      <c r="D12" s="29" t="s">
        <v>1011</v>
      </c>
      <c r="E12" s="40" t="s">
        <v>351</v>
      </c>
      <c r="F12" s="22">
        <v>136.30000000000001</v>
      </c>
      <c r="G12" s="42">
        <v>100</v>
      </c>
      <c r="H12" s="23">
        <v>136.30000000000001</v>
      </c>
      <c r="I12" s="22">
        <f t="shared" si="0"/>
        <v>-36.300000000000011</v>
      </c>
      <c r="J12" s="22" t="s">
        <v>24</v>
      </c>
      <c r="K12" s="24"/>
      <c r="L12" s="25"/>
    </row>
    <row r="13" spans="1:12" ht="15.75" x14ac:dyDescent="0.25">
      <c r="A13" s="20" t="s">
        <v>20</v>
      </c>
      <c r="B13" s="21" t="s">
        <v>1038</v>
      </c>
      <c r="C13" s="28" t="s">
        <v>34</v>
      </c>
      <c r="D13" s="29" t="s">
        <v>18</v>
      </c>
      <c r="E13" s="40" t="s">
        <v>1039</v>
      </c>
      <c r="F13" s="22">
        <f>11000+8000</f>
        <v>19000</v>
      </c>
      <c r="G13" s="42">
        <v>100000</v>
      </c>
      <c r="H13" s="23">
        <f>13250+19000</f>
        <v>32250</v>
      </c>
      <c r="I13" s="22">
        <f t="shared" si="0"/>
        <v>67750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1021</v>
      </c>
      <c r="C14" s="28" t="s">
        <v>210</v>
      </c>
      <c r="D14" s="29" t="s">
        <v>1011</v>
      </c>
      <c r="E14" s="40" t="s">
        <v>212</v>
      </c>
      <c r="F14" s="22">
        <v>1247.0999999999999</v>
      </c>
      <c r="G14" s="22">
        <v>6000</v>
      </c>
      <c r="H14" s="23">
        <f>587.7+451.3+1247.1</f>
        <v>2286.1</v>
      </c>
      <c r="I14" s="22">
        <f t="shared" si="0"/>
        <v>3713.9</v>
      </c>
      <c r="J14" s="22" t="s">
        <v>16</v>
      </c>
      <c r="K14" s="24"/>
      <c r="L14" s="25"/>
    </row>
    <row r="15" spans="1:12" ht="15.75" x14ac:dyDescent="0.25">
      <c r="A15" s="20" t="s">
        <v>17</v>
      </c>
      <c r="B15" s="21" t="s">
        <v>1051</v>
      </c>
      <c r="C15" s="28" t="s">
        <v>1052</v>
      </c>
      <c r="D15" s="29" t="s">
        <v>18</v>
      </c>
      <c r="E15" s="40" t="s">
        <v>1053</v>
      </c>
      <c r="F15" s="22">
        <v>7000</v>
      </c>
      <c r="G15" s="42">
        <v>10000</v>
      </c>
      <c r="H15" s="23">
        <v>7000</v>
      </c>
      <c r="I15" s="22">
        <f t="shared" si="0"/>
        <v>3000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1054</v>
      </c>
      <c r="C16" s="28" t="s">
        <v>870</v>
      </c>
      <c r="D16" s="29" t="s">
        <v>18</v>
      </c>
      <c r="E16" s="40" t="s">
        <v>342</v>
      </c>
      <c r="F16" s="22">
        <v>625</v>
      </c>
      <c r="G16" s="42">
        <v>1000</v>
      </c>
      <c r="H16" s="23">
        <v>625</v>
      </c>
      <c r="I16" s="22">
        <f t="shared" si="0"/>
        <v>375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1055</v>
      </c>
      <c r="C17" s="28" t="s">
        <v>870</v>
      </c>
      <c r="D17" s="29" t="s">
        <v>18</v>
      </c>
      <c r="E17" s="40" t="s">
        <v>646</v>
      </c>
      <c r="F17" s="22">
        <v>1070</v>
      </c>
      <c r="G17" s="42">
        <v>1000</v>
      </c>
      <c r="H17" s="23">
        <v>1070</v>
      </c>
      <c r="I17" s="22">
        <f t="shared" si="0"/>
        <v>-70</v>
      </c>
      <c r="J17" s="22" t="s">
        <v>24</v>
      </c>
      <c r="K17" s="24"/>
      <c r="L17" s="25"/>
    </row>
    <row r="18" spans="1:12" ht="15.75" x14ac:dyDescent="0.25">
      <c r="A18" s="20" t="s">
        <v>82</v>
      </c>
      <c r="B18" s="21" t="s">
        <v>1024</v>
      </c>
      <c r="C18" s="28" t="s">
        <v>15</v>
      </c>
      <c r="D18" s="29" t="s">
        <v>1000</v>
      </c>
      <c r="E18" s="40" t="s">
        <v>81</v>
      </c>
      <c r="F18" s="22">
        <v>185</v>
      </c>
      <c r="G18" s="42">
        <v>2000</v>
      </c>
      <c r="H18" s="23">
        <f>355+380+185</f>
        <v>920</v>
      </c>
      <c r="I18" s="22">
        <f t="shared" si="0"/>
        <v>1080</v>
      </c>
      <c r="J18" s="22" t="s">
        <v>16</v>
      </c>
      <c r="K18" s="24"/>
      <c r="L18" s="25"/>
    </row>
    <row r="19" spans="1:12" ht="15.75" x14ac:dyDescent="0.25">
      <c r="A19" s="43" t="s">
        <v>28</v>
      </c>
      <c r="B19" s="44" t="s">
        <v>1056</v>
      </c>
      <c r="C19" s="45" t="s">
        <v>15</v>
      </c>
      <c r="D19" s="46" t="s">
        <v>344</v>
      </c>
      <c r="E19" s="47" t="s">
        <v>361</v>
      </c>
      <c r="F19" s="48">
        <v>24000</v>
      </c>
      <c r="G19" s="48">
        <v>50000</v>
      </c>
      <c r="H19" s="49">
        <v>24000</v>
      </c>
      <c r="I19" s="48">
        <f>G19-H19</f>
        <v>26000</v>
      </c>
      <c r="J19" s="48" t="s">
        <v>16</v>
      </c>
      <c r="K19" s="50"/>
      <c r="L19" s="51"/>
    </row>
    <row r="20" spans="1:12" ht="16.5" thickBot="1" x14ac:dyDescent="0.3">
      <c r="A20" s="30"/>
      <c r="B20" s="31"/>
      <c r="C20" s="32"/>
      <c r="D20" s="33"/>
      <c r="E20" s="41"/>
      <c r="F20" s="34"/>
      <c r="G20" s="34"/>
      <c r="H20" s="35"/>
      <c r="I20" s="34"/>
      <c r="J20" s="34" t="s">
        <v>64</v>
      </c>
      <c r="K20" s="36"/>
      <c r="L20" s="37"/>
    </row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L20"/>
  <sheetViews>
    <sheetView workbookViewId="0">
      <pane xSplit="3" topLeftCell="F1" activePane="topRight" state="frozen"/>
      <selection pane="topRight" activeCell="A5" sqref="A5:XFD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1044</v>
      </c>
      <c r="C4" s="26" t="s">
        <v>950</v>
      </c>
      <c r="D4" s="27" t="s">
        <v>364</v>
      </c>
      <c r="E4" s="39" t="s">
        <v>951</v>
      </c>
      <c r="F4" s="16">
        <v>3075</v>
      </c>
      <c r="G4" s="16">
        <v>45000</v>
      </c>
      <c r="H4" s="17">
        <f>6500+3075</f>
        <v>9575</v>
      </c>
      <c r="I4" s="16">
        <f t="shared" ref="I4:I18" si="0">G4-H4</f>
        <v>35425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1047</v>
      </c>
      <c r="C5" s="28" t="s">
        <v>1048</v>
      </c>
      <c r="D5" s="29" t="s">
        <v>73</v>
      </c>
      <c r="E5" s="40" t="s">
        <v>1049</v>
      </c>
      <c r="F5" s="22">
        <v>3134</v>
      </c>
      <c r="G5" s="42">
        <v>10800</v>
      </c>
      <c r="H5" s="23">
        <f>3100+3134</f>
        <v>6234</v>
      </c>
      <c r="I5" s="22">
        <f t="shared" si="0"/>
        <v>4566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1045</v>
      </c>
      <c r="C6" s="28" t="s">
        <v>15</v>
      </c>
      <c r="D6" s="29" t="s">
        <v>18</v>
      </c>
      <c r="E6" s="40" t="s">
        <v>1040</v>
      </c>
      <c r="F6" s="22">
        <v>3700</v>
      </c>
      <c r="G6" s="42">
        <v>40000</v>
      </c>
      <c r="H6" s="23">
        <f>1000+8000+3700</f>
        <v>12700</v>
      </c>
      <c r="I6" s="22">
        <f t="shared" si="0"/>
        <v>27300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1028</v>
      </c>
      <c r="C7" s="28" t="s">
        <v>434</v>
      </c>
      <c r="D7" s="29" t="s">
        <v>1029</v>
      </c>
      <c r="E7" s="40" t="s">
        <v>351</v>
      </c>
      <c r="F7" s="22">
        <v>217.9</v>
      </c>
      <c r="G7" s="42">
        <v>585.5</v>
      </c>
      <c r="H7" s="23">
        <f>191.55+217.9</f>
        <v>409.45000000000005</v>
      </c>
      <c r="I7" s="22">
        <f t="shared" si="0"/>
        <v>176.04999999999995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1060</v>
      </c>
      <c r="C8" s="28" t="s">
        <v>287</v>
      </c>
      <c r="D8" s="29" t="s">
        <v>42</v>
      </c>
      <c r="E8" s="40" t="s">
        <v>1061</v>
      </c>
      <c r="F8" s="22">
        <v>1000</v>
      </c>
      <c r="G8" s="42">
        <v>5000</v>
      </c>
      <c r="H8" s="23">
        <v>1000</v>
      </c>
      <c r="I8" s="22">
        <f>G8-H8</f>
        <v>4000</v>
      </c>
      <c r="J8" s="22" t="s">
        <v>16</v>
      </c>
      <c r="K8" s="24"/>
      <c r="L8" s="25"/>
    </row>
    <row r="9" spans="1:12" ht="15.75" x14ac:dyDescent="0.25">
      <c r="A9" s="20" t="s">
        <v>231</v>
      </c>
      <c r="B9" s="21" t="s">
        <v>1062</v>
      </c>
      <c r="C9" s="28" t="s">
        <v>865</v>
      </c>
      <c r="D9" s="29" t="s">
        <v>240</v>
      </c>
      <c r="E9" s="40" t="s">
        <v>866</v>
      </c>
      <c r="F9" s="22">
        <v>927.9</v>
      </c>
      <c r="G9" s="42">
        <v>5000</v>
      </c>
      <c r="H9" s="23">
        <v>927.9</v>
      </c>
      <c r="I9" s="22">
        <f>G9-H9</f>
        <v>4072.1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734</v>
      </c>
      <c r="C10" s="28" t="s">
        <v>15</v>
      </c>
      <c r="D10" s="29" t="s">
        <v>65</v>
      </c>
      <c r="E10" s="40" t="s">
        <v>940</v>
      </c>
      <c r="F10" s="22">
        <v>260000</v>
      </c>
      <c r="G10" s="42">
        <v>1000000</v>
      </c>
      <c r="H10" s="23">
        <f>30000+80000+440000+260000</f>
        <v>810000</v>
      </c>
      <c r="I10" s="22">
        <f>G10-H10</f>
        <v>190000</v>
      </c>
      <c r="J10" s="22" t="s">
        <v>16</v>
      </c>
      <c r="K10" s="24"/>
      <c r="L10" s="25"/>
    </row>
    <row r="11" spans="1:12" ht="15.75" x14ac:dyDescent="0.25">
      <c r="A11" s="20" t="s">
        <v>44</v>
      </c>
      <c r="B11" s="21" t="s">
        <v>734</v>
      </c>
      <c r="C11" s="28" t="s">
        <v>15</v>
      </c>
      <c r="D11" s="29" t="s">
        <v>47</v>
      </c>
      <c r="E11" s="40" t="s">
        <v>45</v>
      </c>
      <c r="F11" s="22">
        <v>10000</v>
      </c>
      <c r="G11" s="42">
        <v>500000</v>
      </c>
      <c r="H11" s="23">
        <v>56100</v>
      </c>
      <c r="I11" s="22">
        <f t="shared" si="0"/>
        <v>443900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685</v>
      </c>
      <c r="C12" s="28" t="s">
        <v>357</v>
      </c>
      <c r="D12" s="29" t="s">
        <v>1011</v>
      </c>
      <c r="E12" s="40" t="s">
        <v>351</v>
      </c>
      <c r="F12" s="22">
        <v>24.8</v>
      </c>
      <c r="G12" s="42">
        <v>150</v>
      </c>
      <c r="H12" s="23">
        <f>136.3+24.8</f>
        <v>161.10000000000002</v>
      </c>
      <c r="I12" s="22">
        <f t="shared" si="0"/>
        <v>-11.100000000000023</v>
      </c>
      <c r="J12" s="22" t="s">
        <v>24</v>
      </c>
      <c r="K12" s="24"/>
      <c r="L12" s="25"/>
    </row>
    <row r="13" spans="1:12" ht="15.75" x14ac:dyDescent="0.25">
      <c r="A13" s="20" t="s">
        <v>20</v>
      </c>
      <c r="B13" s="21" t="s">
        <v>1038</v>
      </c>
      <c r="C13" s="28" t="s">
        <v>34</v>
      </c>
      <c r="D13" s="29" t="s">
        <v>18</v>
      </c>
      <c r="E13" s="40" t="s">
        <v>1039</v>
      </c>
      <c r="F13" s="22">
        <v>7500</v>
      </c>
      <c r="G13" s="42">
        <v>100000</v>
      </c>
      <c r="H13" s="23">
        <f>13250+19000+7500</f>
        <v>39750</v>
      </c>
      <c r="I13" s="22">
        <f t="shared" si="0"/>
        <v>60250</v>
      </c>
      <c r="J13" s="22" t="s">
        <v>16</v>
      </c>
      <c r="K13" s="24"/>
      <c r="L13" s="25"/>
    </row>
    <row r="14" spans="1:12" ht="15.75" x14ac:dyDescent="0.25">
      <c r="A14" s="20" t="s">
        <v>28</v>
      </c>
      <c r="B14" s="21" t="s">
        <v>1063</v>
      </c>
      <c r="C14" s="28" t="s">
        <v>15</v>
      </c>
      <c r="D14" s="29" t="s">
        <v>1064</v>
      </c>
      <c r="E14" s="40" t="s">
        <v>39</v>
      </c>
      <c r="F14" s="22">
        <f>11000+14000</f>
        <v>25000</v>
      </c>
      <c r="G14" s="22">
        <v>50000</v>
      </c>
      <c r="H14" s="23">
        <v>25000</v>
      </c>
      <c r="I14" s="22">
        <f t="shared" si="0"/>
        <v>25000</v>
      </c>
      <c r="J14" s="22" t="s">
        <v>16</v>
      </c>
      <c r="K14" s="24"/>
      <c r="L14" s="25"/>
    </row>
    <row r="15" spans="1:12" ht="15.75" x14ac:dyDescent="0.25">
      <c r="A15" s="20" t="s">
        <v>28</v>
      </c>
      <c r="B15" s="21" t="s">
        <v>1065</v>
      </c>
      <c r="C15" s="28" t="s">
        <v>79</v>
      </c>
      <c r="D15" s="29" t="s">
        <v>18</v>
      </c>
      <c r="E15" s="40" t="s">
        <v>1066</v>
      </c>
      <c r="F15" s="22">
        <v>8000</v>
      </c>
      <c r="G15" s="42">
        <v>20000</v>
      </c>
      <c r="H15" s="23">
        <v>8000</v>
      </c>
      <c r="I15" s="22">
        <f t="shared" si="0"/>
        <v>12000</v>
      </c>
      <c r="J15" s="22" t="s">
        <v>16</v>
      </c>
      <c r="K15" s="24"/>
      <c r="L15" s="25"/>
    </row>
    <row r="16" spans="1:12" ht="15.75" x14ac:dyDescent="0.25">
      <c r="A16" s="20" t="s">
        <v>19</v>
      </c>
      <c r="B16" s="21" t="s">
        <v>930</v>
      </c>
      <c r="C16" s="28" t="s">
        <v>15</v>
      </c>
      <c r="D16" s="29" t="s">
        <v>53</v>
      </c>
      <c r="E16" s="40" t="s">
        <v>55</v>
      </c>
      <c r="F16" s="22">
        <v>15000</v>
      </c>
      <c r="G16" s="42">
        <v>100000</v>
      </c>
      <c r="H16" s="23">
        <v>15000</v>
      </c>
      <c r="I16" s="22">
        <f t="shared" si="0"/>
        <v>85000</v>
      </c>
      <c r="J16" s="22" t="s">
        <v>16</v>
      </c>
      <c r="K16" s="24"/>
      <c r="L16" s="25"/>
    </row>
    <row r="17" spans="1:12" ht="15.75" x14ac:dyDescent="0.25">
      <c r="A17" s="20" t="s">
        <v>19</v>
      </c>
      <c r="B17" s="21" t="s">
        <v>1046</v>
      </c>
      <c r="C17" s="28" t="s">
        <v>15</v>
      </c>
      <c r="D17" s="29" t="s">
        <v>53</v>
      </c>
      <c r="E17" s="40" t="s">
        <v>369</v>
      </c>
      <c r="F17" s="22">
        <v>2700</v>
      </c>
      <c r="G17" s="42">
        <v>50000</v>
      </c>
      <c r="H17" s="23">
        <v>50700</v>
      </c>
      <c r="I17" s="22">
        <f t="shared" si="0"/>
        <v>-700</v>
      </c>
      <c r="J17" s="22" t="s">
        <v>24</v>
      </c>
      <c r="K17" s="24"/>
      <c r="L17" s="25"/>
    </row>
    <row r="18" spans="1:12" ht="15.75" x14ac:dyDescent="0.25">
      <c r="A18" s="20" t="s">
        <v>82</v>
      </c>
      <c r="B18" s="21" t="s">
        <v>1024</v>
      </c>
      <c r="C18" s="28" t="s">
        <v>15</v>
      </c>
      <c r="D18" s="29" t="s">
        <v>1000</v>
      </c>
      <c r="E18" s="40" t="s">
        <v>81</v>
      </c>
      <c r="F18" s="22">
        <v>145</v>
      </c>
      <c r="G18" s="42">
        <v>2000</v>
      </c>
      <c r="H18" s="23">
        <f>355+380+185+145</f>
        <v>1065</v>
      </c>
      <c r="I18" s="22">
        <f t="shared" si="0"/>
        <v>935</v>
      </c>
      <c r="J18" s="22" t="s">
        <v>16</v>
      </c>
      <c r="K18" s="24"/>
      <c r="L18" s="25"/>
    </row>
    <row r="19" spans="1:12" ht="15.75" x14ac:dyDescent="0.25">
      <c r="A19" s="43" t="s">
        <v>19</v>
      </c>
      <c r="B19" s="44" t="s">
        <v>1057</v>
      </c>
      <c r="C19" s="45" t="s">
        <v>1058</v>
      </c>
      <c r="D19" s="46" t="s">
        <v>65</v>
      </c>
      <c r="E19" s="47" t="s">
        <v>1059</v>
      </c>
      <c r="F19" s="48">
        <v>24000</v>
      </c>
      <c r="G19" s="48">
        <v>100000</v>
      </c>
      <c r="H19" s="49">
        <v>40000</v>
      </c>
      <c r="I19" s="48">
        <f>G19-H19</f>
        <v>60000</v>
      </c>
      <c r="J19" s="48" t="s">
        <v>16</v>
      </c>
      <c r="K19" s="50"/>
      <c r="L19" s="51"/>
    </row>
    <row r="20" spans="1:12" ht="16.5" thickBot="1" x14ac:dyDescent="0.3">
      <c r="A20" s="30"/>
      <c r="B20" s="31"/>
      <c r="C20" s="32"/>
      <c r="D20" s="33"/>
      <c r="E20" s="41"/>
      <c r="F20" s="34"/>
      <c r="G20" s="34"/>
      <c r="H20" s="35"/>
      <c r="I20" s="34"/>
      <c r="J20" s="34" t="s">
        <v>64</v>
      </c>
      <c r="K20" s="36"/>
      <c r="L20" s="37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L19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1044</v>
      </c>
      <c r="C4" s="26" t="s">
        <v>950</v>
      </c>
      <c r="D4" s="27" t="s">
        <v>364</v>
      </c>
      <c r="E4" s="39" t="s">
        <v>951</v>
      </c>
      <c r="F4" s="16">
        <f>1000+4325</f>
        <v>5325</v>
      </c>
      <c r="G4" s="16">
        <v>45000</v>
      </c>
      <c r="H4" s="17">
        <f>6500+3075+5325</f>
        <v>14900</v>
      </c>
      <c r="I4" s="16">
        <f t="shared" ref="I4:I18" si="0">G4-H4</f>
        <v>30100</v>
      </c>
      <c r="J4" s="16" t="s">
        <v>16</v>
      </c>
      <c r="K4" s="18"/>
      <c r="L4" s="19"/>
    </row>
    <row r="5" spans="1:12" ht="15.75" x14ac:dyDescent="0.25">
      <c r="A5" s="20" t="s">
        <v>28</v>
      </c>
      <c r="B5" s="21" t="s">
        <v>1056</v>
      </c>
      <c r="C5" s="28" t="s">
        <v>15</v>
      </c>
      <c r="D5" s="29" t="s">
        <v>344</v>
      </c>
      <c r="E5" s="40" t="s">
        <v>361</v>
      </c>
      <c r="F5" s="22">
        <v>24000</v>
      </c>
      <c r="G5" s="42">
        <v>100000</v>
      </c>
      <c r="H5" s="23">
        <v>24000</v>
      </c>
      <c r="I5" s="22">
        <f t="shared" si="0"/>
        <v>76000</v>
      </c>
      <c r="J5" s="22" t="s">
        <v>16</v>
      </c>
      <c r="K5" s="24"/>
      <c r="L5" s="25"/>
    </row>
    <row r="6" spans="1:12" ht="15.75" x14ac:dyDescent="0.25">
      <c r="A6" s="20" t="s">
        <v>40</v>
      </c>
      <c r="B6" s="21" t="s">
        <v>158</v>
      </c>
      <c r="C6" s="28" t="s">
        <v>15</v>
      </c>
      <c r="D6" s="29" t="s">
        <v>68</v>
      </c>
      <c r="E6" s="40" t="s">
        <v>69</v>
      </c>
      <c r="F6" s="22">
        <v>29000</v>
      </c>
      <c r="G6" s="42">
        <v>2000000</v>
      </c>
      <c r="H6" s="23">
        <v>132000</v>
      </c>
      <c r="I6" s="22">
        <f t="shared" si="0"/>
        <v>1868000</v>
      </c>
      <c r="J6" s="22" t="s">
        <v>16</v>
      </c>
      <c r="K6" s="24"/>
      <c r="L6" s="25"/>
    </row>
    <row r="7" spans="1:12" ht="15.75" x14ac:dyDescent="0.25">
      <c r="A7" s="20" t="s">
        <v>228</v>
      </c>
      <c r="B7" s="21" t="s">
        <v>639</v>
      </c>
      <c r="C7" s="28" t="s">
        <v>462</v>
      </c>
      <c r="D7" s="29" t="s">
        <v>18</v>
      </c>
      <c r="E7" s="40" t="s">
        <v>640</v>
      </c>
      <c r="F7" s="22">
        <v>28000</v>
      </c>
      <c r="G7" s="42">
        <v>300000</v>
      </c>
      <c r="H7" s="23">
        <v>164480</v>
      </c>
      <c r="I7" s="22">
        <f t="shared" si="0"/>
        <v>135520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1060</v>
      </c>
      <c r="C8" s="28" t="s">
        <v>287</v>
      </c>
      <c r="D8" s="29" t="s">
        <v>42</v>
      </c>
      <c r="E8" s="40" t="s">
        <v>1061</v>
      </c>
      <c r="F8" s="22">
        <f>2482+1150</f>
        <v>3632</v>
      </c>
      <c r="G8" s="42">
        <v>5000</v>
      </c>
      <c r="H8" s="23">
        <f>1000+3632</f>
        <v>4632</v>
      </c>
      <c r="I8" s="22">
        <f>G8-H8</f>
        <v>368</v>
      </c>
      <c r="J8" s="22" t="s">
        <v>16</v>
      </c>
      <c r="K8" s="24"/>
      <c r="L8" s="25"/>
    </row>
    <row r="9" spans="1:12" ht="15.75" x14ac:dyDescent="0.25">
      <c r="A9" s="20" t="s">
        <v>231</v>
      </c>
      <c r="B9" s="21" t="s">
        <v>1062</v>
      </c>
      <c r="C9" s="28" t="s">
        <v>865</v>
      </c>
      <c r="D9" s="29" t="s">
        <v>240</v>
      </c>
      <c r="E9" s="40" t="s">
        <v>866</v>
      </c>
      <c r="F9" s="22">
        <v>861.2</v>
      </c>
      <c r="G9" s="42">
        <v>5000</v>
      </c>
      <c r="H9" s="23">
        <f>927.9+861.2</f>
        <v>1789.1</v>
      </c>
      <c r="I9" s="22">
        <f>G9-H9</f>
        <v>3210.9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734</v>
      </c>
      <c r="C10" s="28" t="s">
        <v>15</v>
      </c>
      <c r="D10" s="29" t="s">
        <v>65</v>
      </c>
      <c r="E10" s="40" t="s">
        <v>940</v>
      </c>
      <c r="F10" s="22">
        <v>80000</v>
      </c>
      <c r="G10" s="42">
        <v>1000000</v>
      </c>
      <c r="H10" s="23">
        <f>30000+80000+440000+260000+80000</f>
        <v>890000</v>
      </c>
      <c r="I10" s="22">
        <f>G10-H10</f>
        <v>110000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1068</v>
      </c>
      <c r="C11" s="28" t="s">
        <v>1069</v>
      </c>
      <c r="D11" s="29" t="s">
        <v>42</v>
      </c>
      <c r="E11" s="40" t="s">
        <v>365</v>
      </c>
      <c r="F11" s="22">
        <f>10000+2620</f>
        <v>12620</v>
      </c>
      <c r="G11" s="42">
        <v>20000</v>
      </c>
      <c r="H11" s="23">
        <f>12620</f>
        <v>12620</v>
      </c>
      <c r="I11" s="22">
        <f t="shared" si="0"/>
        <v>7380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1070</v>
      </c>
      <c r="C12" s="28" t="s">
        <v>210</v>
      </c>
      <c r="D12" s="29" t="s">
        <v>18</v>
      </c>
      <c r="E12" s="40" t="s">
        <v>427</v>
      </c>
      <c r="F12" s="22">
        <v>15000</v>
      </c>
      <c r="G12" s="42">
        <v>500000</v>
      </c>
      <c r="H12" s="23">
        <v>15000</v>
      </c>
      <c r="I12" s="22">
        <f t="shared" si="0"/>
        <v>485000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1038</v>
      </c>
      <c r="C13" s="28" t="s">
        <v>34</v>
      </c>
      <c r="D13" s="29" t="s">
        <v>18</v>
      </c>
      <c r="E13" s="40" t="s">
        <v>1039</v>
      </c>
      <c r="F13" s="22">
        <v>4724</v>
      </c>
      <c r="G13" s="42">
        <v>100000</v>
      </c>
      <c r="H13" s="23">
        <f>13250+19000+7500+4724</f>
        <v>44474</v>
      </c>
      <c r="I13" s="22">
        <f t="shared" si="0"/>
        <v>55526</v>
      </c>
      <c r="J13" s="22" t="s">
        <v>16</v>
      </c>
      <c r="K13" s="24"/>
      <c r="L13" s="25"/>
    </row>
    <row r="14" spans="1:12" ht="15.75" x14ac:dyDescent="0.25">
      <c r="A14" s="20" t="s">
        <v>20</v>
      </c>
      <c r="B14" s="21" t="s">
        <v>1067</v>
      </c>
      <c r="C14" s="28" t="s">
        <v>79</v>
      </c>
      <c r="D14" s="29" t="s">
        <v>18</v>
      </c>
      <c r="E14" s="40" t="s">
        <v>191</v>
      </c>
      <c r="F14" s="22">
        <f>2800+1800</f>
        <v>4600</v>
      </c>
      <c r="G14" s="22">
        <v>20000</v>
      </c>
      <c r="H14" s="23">
        <f>4600</f>
        <v>4600</v>
      </c>
      <c r="I14" s="22">
        <f t="shared" si="0"/>
        <v>15400</v>
      </c>
      <c r="J14" s="22" t="s">
        <v>16</v>
      </c>
      <c r="K14" s="24"/>
      <c r="L14" s="25"/>
    </row>
    <row r="15" spans="1:12" ht="15.75" x14ac:dyDescent="0.25">
      <c r="A15" s="20" t="s">
        <v>28</v>
      </c>
      <c r="B15" s="21" t="s">
        <v>1065</v>
      </c>
      <c r="C15" s="28" t="s">
        <v>79</v>
      </c>
      <c r="D15" s="29" t="s">
        <v>18</v>
      </c>
      <c r="E15" s="40" t="s">
        <v>1066</v>
      </c>
      <c r="F15" s="22">
        <v>14000</v>
      </c>
      <c r="G15" s="42">
        <v>20000</v>
      </c>
      <c r="H15" s="23">
        <f>8000+14000</f>
        <v>22000</v>
      </c>
      <c r="I15" s="22">
        <f t="shared" si="0"/>
        <v>-2000</v>
      </c>
      <c r="J15" s="22" t="s">
        <v>24</v>
      </c>
      <c r="K15" s="24"/>
      <c r="L15" s="25"/>
    </row>
    <row r="16" spans="1:12" ht="15.75" x14ac:dyDescent="0.25">
      <c r="A16" s="20" t="s">
        <v>19</v>
      </c>
      <c r="B16" s="21" t="s">
        <v>930</v>
      </c>
      <c r="C16" s="28" t="s">
        <v>15</v>
      </c>
      <c r="D16" s="29" t="s">
        <v>53</v>
      </c>
      <c r="E16" s="40" t="s">
        <v>55</v>
      </c>
      <c r="F16" s="22">
        <v>15000</v>
      </c>
      <c r="G16" s="42">
        <v>100000</v>
      </c>
      <c r="H16" s="23">
        <f>15000+15000</f>
        <v>30000</v>
      </c>
      <c r="I16" s="22">
        <f t="shared" si="0"/>
        <v>70000</v>
      </c>
      <c r="J16" s="22" t="s">
        <v>16</v>
      </c>
      <c r="K16" s="24"/>
      <c r="L16" s="25"/>
    </row>
    <row r="17" spans="1:12" ht="15.75" x14ac:dyDescent="0.25">
      <c r="A17" s="20" t="s">
        <v>22</v>
      </c>
      <c r="B17" s="21" t="s">
        <v>1071</v>
      </c>
      <c r="C17" s="28" t="s">
        <v>1072</v>
      </c>
      <c r="D17" s="29" t="s">
        <v>211</v>
      </c>
      <c r="E17" s="40" t="s">
        <v>1073</v>
      </c>
      <c r="F17" s="22">
        <v>152.6</v>
      </c>
      <c r="G17" s="42">
        <v>150</v>
      </c>
      <c r="H17" s="23">
        <v>152.6</v>
      </c>
      <c r="I17" s="22">
        <f t="shared" si="0"/>
        <v>-2.5999999999999943</v>
      </c>
      <c r="J17" s="22" t="s">
        <v>24</v>
      </c>
      <c r="K17" s="24"/>
      <c r="L17" s="25"/>
    </row>
    <row r="18" spans="1:12" ht="15.75" x14ac:dyDescent="0.25">
      <c r="A18" s="20" t="s">
        <v>22</v>
      </c>
      <c r="B18" s="21" t="s">
        <v>1074</v>
      </c>
      <c r="C18" s="28" t="s">
        <v>1075</v>
      </c>
      <c r="D18" s="29" t="s">
        <v>1076</v>
      </c>
      <c r="E18" s="40" t="s">
        <v>1077</v>
      </c>
      <c r="F18" s="22">
        <f>23.5+27.4</f>
        <v>50.9</v>
      </c>
      <c r="G18" s="42">
        <v>50</v>
      </c>
      <c r="H18" s="23">
        <v>50.9</v>
      </c>
      <c r="I18" s="22">
        <f t="shared" si="0"/>
        <v>-0.89999999999999858</v>
      </c>
      <c r="J18" s="22" t="s">
        <v>23</v>
      </c>
      <c r="K18" s="24"/>
      <c r="L18" s="25"/>
    </row>
    <row r="19" spans="1:12" ht="16.5" thickBot="1" x14ac:dyDescent="0.3">
      <c r="A19" s="30"/>
      <c r="B19" s="31"/>
      <c r="C19" s="32"/>
      <c r="D19" s="33"/>
      <c r="E19" s="41"/>
      <c r="F19" s="34"/>
      <c r="G19" s="34"/>
      <c r="H19" s="35"/>
      <c r="I19" s="34"/>
      <c r="J19" s="34" t="s">
        <v>64</v>
      </c>
      <c r="K19" s="36"/>
      <c r="L19" s="37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L17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1044</v>
      </c>
      <c r="C4" s="26" t="s">
        <v>950</v>
      </c>
      <c r="D4" s="27" t="s">
        <v>364</v>
      </c>
      <c r="E4" s="39" t="s">
        <v>951</v>
      </c>
      <c r="F4" s="16">
        <f>4750+350</f>
        <v>5100</v>
      </c>
      <c r="G4" s="16">
        <v>45000</v>
      </c>
      <c r="H4" s="17">
        <f>6500+3075+5325+5100</f>
        <v>20000</v>
      </c>
      <c r="I4" s="16">
        <f t="shared" ref="I4:I16" si="0">G4-H4</f>
        <v>25000</v>
      </c>
      <c r="J4" s="16" t="s">
        <v>16</v>
      </c>
      <c r="K4" s="18"/>
      <c r="L4" s="19"/>
    </row>
    <row r="5" spans="1:12" ht="15.75" x14ac:dyDescent="0.25">
      <c r="A5" s="20" t="s">
        <v>28</v>
      </c>
      <c r="B5" s="21" t="s">
        <v>1056</v>
      </c>
      <c r="C5" s="28" t="s">
        <v>15</v>
      </c>
      <c r="D5" s="29" t="s">
        <v>344</v>
      </c>
      <c r="E5" s="40" t="s">
        <v>361</v>
      </c>
      <c r="F5" s="22">
        <v>48000</v>
      </c>
      <c r="G5" s="42">
        <v>100000</v>
      </c>
      <c r="H5" s="23">
        <f>24000+48000</f>
        <v>72000</v>
      </c>
      <c r="I5" s="22">
        <f t="shared" si="0"/>
        <v>28000</v>
      </c>
      <c r="J5" s="22" t="s">
        <v>16</v>
      </c>
      <c r="K5" s="24"/>
      <c r="L5" s="25"/>
    </row>
    <row r="6" spans="1:12" ht="15.75" x14ac:dyDescent="0.25">
      <c r="A6" s="20" t="s">
        <v>20</v>
      </c>
      <c r="B6" s="21" t="s">
        <v>1082</v>
      </c>
      <c r="C6" s="28" t="s">
        <v>15</v>
      </c>
      <c r="D6" s="29" t="s">
        <v>1083</v>
      </c>
      <c r="E6" s="40" t="s">
        <v>1084</v>
      </c>
      <c r="F6" s="22">
        <v>3570</v>
      </c>
      <c r="G6" s="42">
        <v>3000</v>
      </c>
      <c r="H6" s="23">
        <v>3570</v>
      </c>
      <c r="I6" s="22">
        <f t="shared" si="0"/>
        <v>-570</v>
      </c>
      <c r="J6" s="22" t="s">
        <v>24</v>
      </c>
      <c r="K6" s="24"/>
      <c r="L6" s="25"/>
    </row>
    <row r="7" spans="1:12" ht="15.75" x14ac:dyDescent="0.25">
      <c r="A7" s="20" t="s">
        <v>228</v>
      </c>
      <c r="B7" s="21" t="s">
        <v>639</v>
      </c>
      <c r="C7" s="28" t="s">
        <v>462</v>
      </c>
      <c r="D7" s="29" t="s">
        <v>18</v>
      </c>
      <c r="E7" s="40" t="s">
        <v>640</v>
      </c>
      <c r="F7" s="22">
        <v>15800</v>
      </c>
      <c r="G7" s="42">
        <v>300000</v>
      </c>
      <c r="H7" s="23">
        <f>164480+15800</f>
        <v>180280</v>
      </c>
      <c r="I7" s="22">
        <f t="shared" si="0"/>
        <v>119720</v>
      </c>
      <c r="J7" s="22" t="s">
        <v>16</v>
      </c>
      <c r="K7" s="24"/>
      <c r="L7" s="25"/>
    </row>
    <row r="8" spans="1:12" ht="15.75" x14ac:dyDescent="0.25">
      <c r="A8" s="20" t="s">
        <v>30</v>
      </c>
      <c r="B8" s="21" t="s">
        <v>1078</v>
      </c>
      <c r="C8" s="28" t="s">
        <v>1079</v>
      </c>
      <c r="D8" s="29" t="s">
        <v>1080</v>
      </c>
      <c r="E8" s="40" t="s">
        <v>1081</v>
      </c>
      <c r="F8" s="22">
        <v>16000</v>
      </c>
      <c r="G8" s="42">
        <v>50000</v>
      </c>
      <c r="H8" s="23">
        <v>16000</v>
      </c>
      <c r="I8" s="22">
        <f>G8-H8</f>
        <v>34000</v>
      </c>
      <c r="J8" s="22" t="s">
        <v>16</v>
      </c>
      <c r="K8" s="24"/>
      <c r="L8" s="25"/>
    </row>
    <row r="9" spans="1:12" ht="15.75" x14ac:dyDescent="0.25">
      <c r="A9" s="20" t="s">
        <v>231</v>
      </c>
      <c r="B9" s="21" t="s">
        <v>1062</v>
      </c>
      <c r="C9" s="28" t="s">
        <v>865</v>
      </c>
      <c r="D9" s="29" t="s">
        <v>240</v>
      </c>
      <c r="E9" s="40" t="s">
        <v>866</v>
      </c>
      <c r="F9" s="22">
        <v>1037.95</v>
      </c>
      <c r="G9" s="42">
        <v>5000</v>
      </c>
      <c r="H9" s="23">
        <f>927.9+861.2+1037.95</f>
        <v>2827.05</v>
      </c>
      <c r="I9" s="22">
        <f>G9-H9</f>
        <v>2172.9499999999998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1021</v>
      </c>
      <c r="C10" s="28" t="s">
        <v>210</v>
      </c>
      <c r="D10" s="29" t="s">
        <v>1011</v>
      </c>
      <c r="E10" s="40" t="s">
        <v>212</v>
      </c>
      <c r="F10" s="22">
        <v>488.2</v>
      </c>
      <c r="G10" s="22">
        <v>6000</v>
      </c>
      <c r="H10" s="23">
        <f>587.7+451.3+1247.1+488.2</f>
        <v>2774.2999999999997</v>
      </c>
      <c r="I10" s="22">
        <f t="shared" ref="I10" si="1">G10-H10</f>
        <v>3225.7000000000003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1068</v>
      </c>
      <c r="C11" s="28" t="s">
        <v>1069</v>
      </c>
      <c r="D11" s="29" t="s">
        <v>42</v>
      </c>
      <c r="E11" s="40" t="s">
        <v>365</v>
      </c>
      <c r="F11" s="22">
        <v>5500</v>
      </c>
      <c r="G11" s="42">
        <v>20000</v>
      </c>
      <c r="H11" s="23">
        <f>12620+5500</f>
        <v>18120</v>
      </c>
      <c r="I11" s="22">
        <f t="shared" si="0"/>
        <v>1880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1070</v>
      </c>
      <c r="C12" s="28" t="s">
        <v>210</v>
      </c>
      <c r="D12" s="29" t="s">
        <v>18</v>
      </c>
      <c r="E12" s="40" t="s">
        <v>427</v>
      </c>
      <c r="F12" s="22">
        <v>35000</v>
      </c>
      <c r="G12" s="42">
        <v>500000</v>
      </c>
      <c r="H12" s="23">
        <f>15000+35000</f>
        <v>50000</v>
      </c>
      <c r="I12" s="22">
        <f t="shared" si="0"/>
        <v>450000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1038</v>
      </c>
      <c r="C13" s="28" t="s">
        <v>34</v>
      </c>
      <c r="D13" s="29" t="s">
        <v>18</v>
      </c>
      <c r="E13" s="40" t="s">
        <v>1039</v>
      </c>
      <c r="F13" s="22">
        <v>7000</v>
      </c>
      <c r="G13" s="42">
        <v>100000</v>
      </c>
      <c r="H13" s="23">
        <f>13250+19000+7500+4724+7000</f>
        <v>51474</v>
      </c>
      <c r="I13" s="22">
        <f t="shared" si="0"/>
        <v>48526</v>
      </c>
      <c r="J13" s="22" t="s">
        <v>16</v>
      </c>
      <c r="K13" s="24"/>
      <c r="L13" s="25"/>
    </row>
    <row r="14" spans="1:12" ht="15.75" x14ac:dyDescent="0.25">
      <c r="A14" s="20" t="s">
        <v>20</v>
      </c>
      <c r="B14" s="21" t="s">
        <v>1067</v>
      </c>
      <c r="C14" s="28" t="s">
        <v>79</v>
      </c>
      <c r="D14" s="29" t="s">
        <v>18</v>
      </c>
      <c r="E14" s="40" t="s">
        <v>191</v>
      </c>
      <c r="F14" s="22">
        <v>1241</v>
      </c>
      <c r="G14" s="22">
        <v>20000</v>
      </c>
      <c r="H14" s="23">
        <f>4600+1241</f>
        <v>5841</v>
      </c>
      <c r="I14" s="22">
        <f t="shared" si="0"/>
        <v>14159</v>
      </c>
      <c r="J14" s="22" t="s">
        <v>16</v>
      </c>
      <c r="K14" s="24"/>
      <c r="L14" s="25"/>
    </row>
    <row r="15" spans="1:12" ht="15.75" x14ac:dyDescent="0.25">
      <c r="A15" s="20" t="s">
        <v>19</v>
      </c>
      <c r="B15" s="21" t="s">
        <v>930</v>
      </c>
      <c r="C15" s="28" t="s">
        <v>15</v>
      </c>
      <c r="D15" s="29" t="s">
        <v>53</v>
      </c>
      <c r="E15" s="40" t="s">
        <v>55</v>
      </c>
      <c r="F15" s="22">
        <v>18000</v>
      </c>
      <c r="G15" s="42">
        <v>100000</v>
      </c>
      <c r="H15" s="23">
        <f>15000+15000+18000</f>
        <v>48000</v>
      </c>
      <c r="I15" s="22">
        <f t="shared" si="0"/>
        <v>52000</v>
      </c>
      <c r="J15" s="22" t="s">
        <v>16</v>
      </c>
      <c r="K15" s="24"/>
      <c r="L15" s="25"/>
    </row>
    <row r="16" spans="1:12" ht="15.75" x14ac:dyDescent="0.25">
      <c r="A16" s="20" t="s">
        <v>44</v>
      </c>
      <c r="B16" s="21" t="s">
        <v>734</v>
      </c>
      <c r="C16" s="28" t="s">
        <v>15</v>
      </c>
      <c r="D16" s="29" t="s">
        <v>47</v>
      </c>
      <c r="E16" s="40" t="s">
        <v>45</v>
      </c>
      <c r="F16" s="22">
        <v>36000</v>
      </c>
      <c r="G16" s="42">
        <v>500000</v>
      </c>
      <c r="H16" s="23">
        <v>36000</v>
      </c>
      <c r="I16" s="22">
        <f t="shared" si="0"/>
        <v>464000</v>
      </c>
      <c r="J16" s="22" t="s">
        <v>16</v>
      </c>
      <c r="K16" s="24"/>
      <c r="L16" s="25"/>
    </row>
    <row r="17" spans="1:12" ht="16.5" thickBot="1" x14ac:dyDescent="0.3">
      <c r="A17" s="30"/>
      <c r="B17" s="31"/>
      <c r="C17" s="32"/>
      <c r="D17" s="33"/>
      <c r="E17" s="41"/>
      <c r="F17" s="34"/>
      <c r="G17" s="34"/>
      <c r="H17" s="35"/>
      <c r="I17" s="34"/>
      <c r="J17" s="34" t="s">
        <v>64</v>
      </c>
      <c r="K17" s="36"/>
      <c r="L17" s="37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L23"/>
  <sheetViews>
    <sheetView workbookViewId="0">
      <pane xSplit="3" topLeftCell="D1" activePane="topRight" state="frozen"/>
      <selection pane="topRight" activeCell="A19" sqref="A19:XFD1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1044</v>
      </c>
      <c r="C4" s="26" t="s">
        <v>950</v>
      </c>
      <c r="D4" s="27" t="s">
        <v>364</v>
      </c>
      <c r="E4" s="39" t="s">
        <v>951</v>
      </c>
      <c r="F4" s="16">
        <v>4025</v>
      </c>
      <c r="G4" s="16">
        <v>45000</v>
      </c>
      <c r="H4" s="17">
        <f>6500+3075+5325+5100+4025</f>
        <v>24025</v>
      </c>
      <c r="I4" s="16">
        <f t="shared" ref="I4:I22" si="0">G4-H4</f>
        <v>20975</v>
      </c>
      <c r="J4" s="16" t="s">
        <v>16</v>
      </c>
      <c r="K4" s="18"/>
      <c r="L4" s="19"/>
    </row>
    <row r="5" spans="1:12" ht="15.75" x14ac:dyDescent="0.25">
      <c r="A5" s="20" t="s">
        <v>40</v>
      </c>
      <c r="B5" s="21" t="s">
        <v>1088</v>
      </c>
      <c r="C5" s="28" t="s">
        <v>15</v>
      </c>
      <c r="D5" s="29" t="s">
        <v>54</v>
      </c>
      <c r="E5" s="40" t="s">
        <v>59</v>
      </c>
      <c r="F5" s="22">
        <v>20000</v>
      </c>
      <c r="G5" s="42">
        <v>50000</v>
      </c>
      <c r="H5" s="23">
        <v>20000</v>
      </c>
      <c r="I5" s="22">
        <f t="shared" si="0"/>
        <v>30000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939</v>
      </c>
      <c r="C6" s="28" t="s">
        <v>204</v>
      </c>
      <c r="D6" s="29" t="s">
        <v>1087</v>
      </c>
      <c r="E6" s="40" t="s">
        <v>206</v>
      </c>
      <c r="F6" s="22">
        <v>173.3</v>
      </c>
      <c r="G6" s="42">
        <v>1000</v>
      </c>
      <c r="H6" s="23">
        <v>173.3</v>
      </c>
      <c r="I6" s="22">
        <f t="shared" si="0"/>
        <v>826.7</v>
      </c>
      <c r="J6" s="22" t="s">
        <v>16</v>
      </c>
      <c r="K6" s="24"/>
      <c r="L6" s="25"/>
    </row>
    <row r="7" spans="1:12" ht="15.75" x14ac:dyDescent="0.25">
      <c r="A7" s="20" t="s">
        <v>228</v>
      </c>
      <c r="B7" s="21" t="s">
        <v>639</v>
      </c>
      <c r="C7" s="28" t="s">
        <v>462</v>
      </c>
      <c r="D7" s="29" t="s">
        <v>18</v>
      </c>
      <c r="E7" s="40" t="s">
        <v>640</v>
      </c>
      <c r="F7" s="22">
        <v>48000</v>
      </c>
      <c r="G7" s="42">
        <v>300000</v>
      </c>
      <c r="H7" s="23">
        <f>164480+15800+48000</f>
        <v>228280</v>
      </c>
      <c r="I7" s="22">
        <f t="shared" si="0"/>
        <v>71720</v>
      </c>
      <c r="J7" s="22" t="s">
        <v>16</v>
      </c>
      <c r="K7" s="24"/>
      <c r="L7" s="25"/>
    </row>
    <row r="8" spans="1:12" ht="15.75" x14ac:dyDescent="0.25">
      <c r="A8" s="20" t="s">
        <v>30</v>
      </c>
      <c r="B8" s="21" t="s">
        <v>1078</v>
      </c>
      <c r="C8" s="28" t="s">
        <v>1079</v>
      </c>
      <c r="D8" s="29" t="s">
        <v>1080</v>
      </c>
      <c r="E8" s="40" t="s">
        <v>1081</v>
      </c>
      <c r="F8" s="22">
        <v>7000</v>
      </c>
      <c r="G8" s="42">
        <v>50000</v>
      </c>
      <c r="H8" s="23">
        <f>16000+7000</f>
        <v>23000</v>
      </c>
      <c r="I8" s="22">
        <f>G8-H8</f>
        <v>27000</v>
      </c>
      <c r="J8" s="22" t="s">
        <v>16</v>
      </c>
      <c r="K8" s="24"/>
      <c r="L8" s="25"/>
    </row>
    <row r="9" spans="1:12" ht="15.75" x14ac:dyDescent="0.25">
      <c r="A9" s="20" t="s">
        <v>231</v>
      </c>
      <c r="B9" s="21" t="s">
        <v>1062</v>
      </c>
      <c r="C9" s="28" t="s">
        <v>865</v>
      </c>
      <c r="D9" s="29" t="s">
        <v>240</v>
      </c>
      <c r="E9" s="40" t="s">
        <v>866</v>
      </c>
      <c r="F9" s="22">
        <v>617.04999999999995</v>
      </c>
      <c r="G9" s="42">
        <v>5000</v>
      </c>
      <c r="H9" s="23">
        <f>927.9+861.2+1037.95+617.05</f>
        <v>3444.1000000000004</v>
      </c>
      <c r="I9" s="22">
        <f>G9-H9</f>
        <v>1555.8999999999996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1021</v>
      </c>
      <c r="C10" s="28" t="s">
        <v>210</v>
      </c>
      <c r="D10" s="29" t="s">
        <v>1011</v>
      </c>
      <c r="E10" s="40" t="s">
        <v>212</v>
      </c>
      <c r="F10" s="22">
        <v>519.9</v>
      </c>
      <c r="G10" s="22">
        <v>6000</v>
      </c>
      <c r="H10" s="23">
        <f>587.7+451.3+1247.1+488.2+519.9</f>
        <v>3294.2</v>
      </c>
      <c r="I10" s="22">
        <f t="shared" ref="I10" si="1">G10-H10</f>
        <v>2705.8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140</v>
      </c>
      <c r="C11" s="28" t="s">
        <v>273</v>
      </c>
      <c r="D11" s="29" t="s">
        <v>27</v>
      </c>
      <c r="E11" s="40" t="s">
        <v>1086</v>
      </c>
      <c r="F11" s="22">
        <v>16000</v>
      </c>
      <c r="G11" s="42">
        <v>200000</v>
      </c>
      <c r="H11" s="23">
        <v>16000</v>
      </c>
      <c r="I11" s="22">
        <f t="shared" si="0"/>
        <v>184000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1070</v>
      </c>
      <c r="C12" s="28" t="s">
        <v>210</v>
      </c>
      <c r="D12" s="29" t="s">
        <v>18</v>
      </c>
      <c r="E12" s="40" t="s">
        <v>427</v>
      </c>
      <c r="F12" s="22">
        <v>15000</v>
      </c>
      <c r="G12" s="42">
        <v>500000</v>
      </c>
      <c r="H12" s="23">
        <f>15000+35000+15000</f>
        <v>65000</v>
      </c>
      <c r="I12" s="22">
        <f t="shared" si="0"/>
        <v>435000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1038</v>
      </c>
      <c r="C13" s="28" t="s">
        <v>34</v>
      </c>
      <c r="D13" s="29" t="s">
        <v>18</v>
      </c>
      <c r="E13" s="40" t="s">
        <v>1039</v>
      </c>
      <c r="F13" s="22">
        <v>7000</v>
      </c>
      <c r="G13" s="42">
        <v>100000</v>
      </c>
      <c r="H13" s="23">
        <f>13250+19000+7500+4724+7000</f>
        <v>51474</v>
      </c>
      <c r="I13" s="22">
        <f t="shared" si="0"/>
        <v>48526</v>
      </c>
      <c r="J13" s="22" t="s">
        <v>16</v>
      </c>
      <c r="K13" s="24"/>
      <c r="L13" s="25"/>
    </row>
    <row r="14" spans="1:12" ht="15.75" x14ac:dyDescent="0.25">
      <c r="A14" s="20" t="s">
        <v>82</v>
      </c>
      <c r="B14" s="21" t="s">
        <v>1024</v>
      </c>
      <c r="C14" s="28" t="s">
        <v>15</v>
      </c>
      <c r="D14" s="29" t="s">
        <v>1085</v>
      </c>
      <c r="E14" s="40" t="s">
        <v>81</v>
      </c>
      <c r="F14" s="22">
        <v>155</v>
      </c>
      <c r="G14" s="22">
        <v>2000</v>
      </c>
      <c r="H14" s="23">
        <v>1045</v>
      </c>
      <c r="I14" s="22">
        <f t="shared" si="0"/>
        <v>955</v>
      </c>
      <c r="J14" s="22" t="s">
        <v>16</v>
      </c>
      <c r="K14" s="24"/>
      <c r="L14" s="25"/>
    </row>
    <row r="15" spans="1:12" ht="15.75" x14ac:dyDescent="0.25">
      <c r="A15" s="20" t="s">
        <v>17</v>
      </c>
      <c r="B15" s="21" t="s">
        <v>1089</v>
      </c>
      <c r="C15" s="28" t="s">
        <v>870</v>
      </c>
      <c r="D15" s="29" t="s">
        <v>18</v>
      </c>
      <c r="E15" s="40" t="s">
        <v>1090</v>
      </c>
      <c r="F15" s="22">
        <v>50</v>
      </c>
      <c r="G15" s="22">
        <v>1000</v>
      </c>
      <c r="H15" s="23">
        <v>50</v>
      </c>
      <c r="I15" s="22">
        <f>G15-H15</f>
        <v>950</v>
      </c>
      <c r="J15" s="22" t="s">
        <v>16</v>
      </c>
      <c r="K15" s="24"/>
      <c r="L15" s="25"/>
    </row>
    <row r="16" spans="1:12" ht="15.75" x14ac:dyDescent="0.25">
      <c r="A16" s="20" t="s">
        <v>22</v>
      </c>
      <c r="B16" s="21" t="s">
        <v>1034</v>
      </c>
      <c r="C16" s="28" t="s">
        <v>1035</v>
      </c>
      <c r="D16" s="29" t="s">
        <v>1011</v>
      </c>
      <c r="E16" s="40" t="s">
        <v>351</v>
      </c>
      <c r="F16" s="22">
        <v>25</v>
      </c>
      <c r="G16" s="42">
        <v>200</v>
      </c>
      <c r="H16" s="23">
        <f>96.4+25</f>
        <v>121.4</v>
      </c>
      <c r="I16" s="22">
        <f t="shared" ref="I16" si="2">G16-H16</f>
        <v>78.599999999999994</v>
      </c>
      <c r="J16" s="22" t="s">
        <v>16</v>
      </c>
      <c r="K16" s="24"/>
      <c r="L16" s="25"/>
    </row>
    <row r="17" spans="1:12" ht="15.75" x14ac:dyDescent="0.25">
      <c r="A17" s="20" t="s">
        <v>346</v>
      </c>
      <c r="B17" s="21" t="s">
        <v>1091</v>
      </c>
      <c r="C17" s="28" t="s">
        <v>1092</v>
      </c>
      <c r="D17" s="29" t="s">
        <v>1093</v>
      </c>
      <c r="E17" s="40" t="s">
        <v>46</v>
      </c>
      <c r="F17" s="22">
        <v>321.7</v>
      </c>
      <c r="G17" s="22">
        <v>1000</v>
      </c>
      <c r="H17" s="23">
        <v>321.7</v>
      </c>
      <c r="I17" s="22">
        <f>G17-H17</f>
        <v>678.3</v>
      </c>
      <c r="J17" s="22" t="s">
        <v>16</v>
      </c>
      <c r="K17" s="24"/>
      <c r="L17" s="25"/>
    </row>
    <row r="18" spans="1:12" ht="15.75" x14ac:dyDescent="0.25">
      <c r="A18" s="20" t="s">
        <v>28</v>
      </c>
      <c r="B18" s="21" t="s">
        <v>1094</v>
      </c>
      <c r="C18" s="28" t="s">
        <v>15</v>
      </c>
      <c r="D18" s="29" t="s">
        <v>344</v>
      </c>
      <c r="E18" s="40" t="s">
        <v>361</v>
      </c>
      <c r="F18" s="22">
        <v>32000</v>
      </c>
      <c r="G18" s="22">
        <v>100000</v>
      </c>
      <c r="H18" s="23">
        <v>92000</v>
      </c>
      <c r="I18" s="22">
        <f>G18-H18</f>
        <v>8000</v>
      </c>
      <c r="J18" s="22" t="s">
        <v>16</v>
      </c>
      <c r="K18" s="24"/>
      <c r="L18" s="25"/>
    </row>
    <row r="19" spans="1:12" ht="15.75" x14ac:dyDescent="0.25">
      <c r="A19" s="20" t="s">
        <v>14</v>
      </c>
      <c r="B19" s="21" t="s">
        <v>1095</v>
      </c>
      <c r="C19" s="28" t="s">
        <v>15</v>
      </c>
      <c r="D19" s="29" t="s">
        <v>1096</v>
      </c>
      <c r="E19" s="40" t="s">
        <v>1097</v>
      </c>
      <c r="F19" s="22">
        <v>18700</v>
      </c>
      <c r="G19" s="22">
        <v>20000</v>
      </c>
      <c r="H19" s="23">
        <v>18700</v>
      </c>
      <c r="I19" s="22">
        <f>G19-H19</f>
        <v>1300</v>
      </c>
      <c r="J19" s="22" t="s">
        <v>16</v>
      </c>
      <c r="K19" s="24"/>
      <c r="L19" s="25"/>
    </row>
    <row r="20" spans="1:12" ht="15.75" x14ac:dyDescent="0.25">
      <c r="A20" s="20" t="s">
        <v>19</v>
      </c>
      <c r="B20" s="21" t="s">
        <v>1098</v>
      </c>
      <c r="C20" s="28" t="s">
        <v>15</v>
      </c>
      <c r="D20" s="29" t="s">
        <v>1099</v>
      </c>
      <c r="E20" s="40" t="s">
        <v>1100</v>
      </c>
      <c r="F20" s="22">
        <v>18000</v>
      </c>
      <c r="G20" s="22">
        <v>50000</v>
      </c>
      <c r="H20" s="23">
        <v>18000</v>
      </c>
      <c r="I20" s="22">
        <f>G20-H20</f>
        <v>32000</v>
      </c>
      <c r="J20" s="22" t="s">
        <v>16</v>
      </c>
      <c r="K20" s="24"/>
      <c r="L20" s="25"/>
    </row>
    <row r="21" spans="1:12" ht="15.75" x14ac:dyDescent="0.25">
      <c r="A21" s="20" t="s">
        <v>19</v>
      </c>
      <c r="B21" s="21" t="s">
        <v>930</v>
      </c>
      <c r="C21" s="28" t="s">
        <v>15</v>
      </c>
      <c r="D21" s="29" t="s">
        <v>53</v>
      </c>
      <c r="E21" s="40" t="s">
        <v>55</v>
      </c>
      <c r="F21" s="22">
        <v>8000</v>
      </c>
      <c r="G21" s="42">
        <v>100000</v>
      </c>
      <c r="H21" s="23">
        <f>15000+15000+18000+8000</f>
        <v>56000</v>
      </c>
      <c r="I21" s="22">
        <f t="shared" si="0"/>
        <v>44000</v>
      </c>
      <c r="J21" s="22" t="s">
        <v>16</v>
      </c>
      <c r="K21" s="24"/>
      <c r="L21" s="25"/>
    </row>
    <row r="22" spans="1:12" ht="15.75" x14ac:dyDescent="0.25">
      <c r="A22" s="20" t="s">
        <v>44</v>
      </c>
      <c r="B22" s="21" t="s">
        <v>734</v>
      </c>
      <c r="C22" s="28" t="s">
        <v>15</v>
      </c>
      <c r="D22" s="29" t="s">
        <v>47</v>
      </c>
      <c r="E22" s="40" t="s">
        <v>45</v>
      </c>
      <c r="F22" s="22">
        <v>4000</v>
      </c>
      <c r="G22" s="42">
        <v>500000</v>
      </c>
      <c r="H22" s="23">
        <v>591000</v>
      </c>
      <c r="I22" s="22">
        <f t="shared" si="0"/>
        <v>-91000</v>
      </c>
      <c r="J22" s="22" t="s">
        <v>24</v>
      </c>
      <c r="K22" s="24"/>
      <c r="L22" s="25"/>
    </row>
    <row r="23" spans="1:12" ht="16.5" thickBot="1" x14ac:dyDescent="0.3">
      <c r="A23" s="30"/>
      <c r="B23" s="31"/>
      <c r="C23" s="32"/>
      <c r="D23" s="33"/>
      <c r="E23" s="41"/>
      <c r="F23" s="34"/>
      <c r="G23" s="34"/>
      <c r="H23" s="35"/>
      <c r="I23" s="34"/>
      <c r="J23" s="34" t="s">
        <v>64</v>
      </c>
      <c r="K23" s="36"/>
      <c r="L23" s="37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L25"/>
  <sheetViews>
    <sheetView workbookViewId="0">
      <pane xSplit="3" topLeftCell="E1" activePane="topRight" state="frozen"/>
      <selection pane="topRight" activeCell="H5" sqref="H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734</v>
      </c>
      <c r="C4" s="26" t="s">
        <v>15</v>
      </c>
      <c r="D4" s="27" t="s">
        <v>18</v>
      </c>
      <c r="E4" s="39" t="s">
        <v>379</v>
      </c>
      <c r="F4" s="16">
        <v>16000</v>
      </c>
      <c r="G4" s="16">
        <v>30000</v>
      </c>
      <c r="H4" s="17">
        <v>16000</v>
      </c>
      <c r="I4" s="16">
        <f t="shared" ref="I4:I24" si="0">G4-H4</f>
        <v>14000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1047</v>
      </c>
      <c r="C5" s="28" t="s">
        <v>1048</v>
      </c>
      <c r="D5" s="29" t="s">
        <v>73</v>
      </c>
      <c r="E5" s="40" t="s">
        <v>1049</v>
      </c>
      <c r="F5" s="22">
        <f>1200+1300+1929</f>
        <v>4429</v>
      </c>
      <c r="G5" s="42">
        <v>10800</v>
      </c>
      <c r="H5" s="23">
        <f>3100+3134+2500+1929</f>
        <v>10663</v>
      </c>
      <c r="I5" s="22">
        <f t="shared" si="0"/>
        <v>137</v>
      </c>
      <c r="J5" s="22" t="s">
        <v>16</v>
      </c>
      <c r="K5" s="24"/>
      <c r="L5" s="25"/>
    </row>
    <row r="6" spans="1:12" ht="15.75" x14ac:dyDescent="0.25">
      <c r="A6" s="20" t="s">
        <v>28</v>
      </c>
      <c r="B6" s="21" t="s">
        <v>1094</v>
      </c>
      <c r="C6" s="28" t="s">
        <v>15</v>
      </c>
      <c r="D6" s="29" t="s">
        <v>344</v>
      </c>
      <c r="E6" s="40" t="s">
        <v>361</v>
      </c>
      <c r="F6" s="22">
        <v>48000</v>
      </c>
      <c r="G6" s="42">
        <v>50000</v>
      </c>
      <c r="H6" s="23">
        <v>48000</v>
      </c>
      <c r="I6" s="22">
        <f t="shared" si="0"/>
        <v>2000</v>
      </c>
      <c r="J6" s="22" t="s">
        <v>16</v>
      </c>
      <c r="K6" s="24"/>
      <c r="L6" s="25"/>
    </row>
    <row r="7" spans="1:12" ht="15.75" x14ac:dyDescent="0.25">
      <c r="A7" s="20" t="s">
        <v>28</v>
      </c>
      <c r="B7" s="21" t="s">
        <v>1101</v>
      </c>
      <c r="C7" s="28" t="s">
        <v>15</v>
      </c>
      <c r="D7" s="29" t="s">
        <v>1064</v>
      </c>
      <c r="E7" s="40" t="s">
        <v>1102</v>
      </c>
      <c r="F7" s="22">
        <v>6280</v>
      </c>
      <c r="G7" s="42">
        <v>6200</v>
      </c>
      <c r="H7" s="23">
        <v>6280</v>
      </c>
      <c r="I7" s="22">
        <f t="shared" si="0"/>
        <v>-80</v>
      </c>
      <c r="J7" s="22" t="s">
        <v>24</v>
      </c>
      <c r="K7" s="24"/>
      <c r="L7" s="25"/>
    </row>
    <row r="8" spans="1:12" ht="15.75" x14ac:dyDescent="0.25">
      <c r="A8" s="20" t="s">
        <v>228</v>
      </c>
      <c r="B8" s="21" t="s">
        <v>639</v>
      </c>
      <c r="C8" s="28" t="s">
        <v>462</v>
      </c>
      <c r="D8" s="29" t="s">
        <v>18</v>
      </c>
      <c r="E8" s="40" t="s">
        <v>640</v>
      </c>
      <c r="F8" s="22">
        <f>43560+13200</f>
        <v>56760</v>
      </c>
      <c r="G8" s="42">
        <v>300000</v>
      </c>
      <c r="H8" s="23">
        <f>164480+15800+48000+56760</f>
        <v>285040</v>
      </c>
      <c r="I8" s="22">
        <f t="shared" si="0"/>
        <v>14960</v>
      </c>
      <c r="J8" s="22" t="s">
        <v>16</v>
      </c>
      <c r="K8" s="24"/>
      <c r="L8" s="25"/>
    </row>
    <row r="9" spans="1:12" ht="15.75" x14ac:dyDescent="0.25">
      <c r="A9" s="20" t="s">
        <v>30</v>
      </c>
      <c r="B9" s="21" t="s">
        <v>1078</v>
      </c>
      <c r="C9" s="28" t="s">
        <v>1079</v>
      </c>
      <c r="D9" s="29" t="s">
        <v>1080</v>
      </c>
      <c r="E9" s="40" t="s">
        <v>1081</v>
      </c>
      <c r="F9" s="22">
        <v>9500</v>
      </c>
      <c r="G9" s="42">
        <v>50000</v>
      </c>
      <c r="H9" s="23">
        <f>16000+7000+9500</f>
        <v>32500</v>
      </c>
      <c r="I9" s="22">
        <f>G9-H9</f>
        <v>17500</v>
      </c>
      <c r="J9" s="22" t="s">
        <v>16</v>
      </c>
      <c r="K9" s="24"/>
      <c r="L9" s="25"/>
    </row>
    <row r="10" spans="1:12" ht="15.75" x14ac:dyDescent="0.25">
      <c r="A10" s="20" t="s">
        <v>20</v>
      </c>
      <c r="B10" s="21" t="s">
        <v>1103</v>
      </c>
      <c r="C10" s="28" t="s">
        <v>1104</v>
      </c>
      <c r="D10" s="29" t="s">
        <v>42</v>
      </c>
      <c r="E10" s="40" t="s">
        <v>955</v>
      </c>
      <c r="F10" s="22">
        <v>10575</v>
      </c>
      <c r="G10" s="42">
        <v>10000</v>
      </c>
      <c r="H10" s="23">
        <v>10575</v>
      </c>
      <c r="I10" s="22">
        <f>G10-H10</f>
        <v>-575</v>
      </c>
      <c r="J10" s="22" t="s">
        <v>24</v>
      </c>
      <c r="K10" s="24"/>
      <c r="L10" s="25"/>
    </row>
    <row r="11" spans="1:12" ht="15.75" x14ac:dyDescent="0.25">
      <c r="A11" s="20" t="s">
        <v>22</v>
      </c>
      <c r="B11" s="21" t="s">
        <v>1105</v>
      </c>
      <c r="C11" s="28" t="s">
        <v>1106</v>
      </c>
      <c r="D11" s="29" t="s">
        <v>1011</v>
      </c>
      <c r="E11" s="40" t="s">
        <v>1107</v>
      </c>
      <c r="F11" s="22">
        <v>58.9</v>
      </c>
      <c r="G11" s="22">
        <v>100</v>
      </c>
      <c r="H11" s="23">
        <v>58.9</v>
      </c>
      <c r="I11" s="22">
        <f t="shared" ref="I11" si="1">G11-H11</f>
        <v>41.1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140</v>
      </c>
      <c r="C12" s="28" t="s">
        <v>273</v>
      </c>
      <c r="D12" s="29" t="s">
        <v>27</v>
      </c>
      <c r="E12" s="40" t="s">
        <v>1086</v>
      </c>
      <c r="F12" s="22">
        <v>12000</v>
      </c>
      <c r="G12" s="42">
        <v>200000</v>
      </c>
      <c r="H12" s="23">
        <f>16000+12000</f>
        <v>28000</v>
      </c>
      <c r="I12" s="22">
        <f t="shared" si="0"/>
        <v>172000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1108</v>
      </c>
      <c r="C13" s="28" t="s">
        <v>1109</v>
      </c>
      <c r="D13" s="29" t="s">
        <v>27</v>
      </c>
      <c r="E13" s="40" t="s">
        <v>351</v>
      </c>
      <c r="F13" s="22">
        <v>121.6</v>
      </c>
      <c r="G13" s="42">
        <v>500</v>
      </c>
      <c r="H13" s="23">
        <v>121.6</v>
      </c>
      <c r="I13" s="22">
        <f t="shared" si="0"/>
        <v>378.4</v>
      </c>
      <c r="J13" s="22" t="s">
        <v>16</v>
      </c>
      <c r="K13" s="24"/>
      <c r="L13" s="25"/>
    </row>
    <row r="14" spans="1:12" ht="15.75" x14ac:dyDescent="0.25">
      <c r="A14" s="20" t="s">
        <v>20</v>
      </c>
      <c r="B14" s="21" t="s">
        <v>1038</v>
      </c>
      <c r="C14" s="28" t="s">
        <v>34</v>
      </c>
      <c r="D14" s="29" t="s">
        <v>18</v>
      </c>
      <c r="E14" s="40" t="s">
        <v>1039</v>
      </c>
      <c r="F14" s="22">
        <v>3250</v>
      </c>
      <c r="G14" s="42">
        <v>100000</v>
      </c>
      <c r="H14" s="23">
        <f>13250+19000+7500+4724+7000+3250</f>
        <v>54724</v>
      </c>
      <c r="I14" s="22">
        <f t="shared" si="0"/>
        <v>45276</v>
      </c>
      <c r="J14" s="22" t="s">
        <v>16</v>
      </c>
      <c r="K14" s="24"/>
      <c r="L14" s="25"/>
    </row>
    <row r="15" spans="1:12" ht="15.75" x14ac:dyDescent="0.25">
      <c r="A15" s="20" t="s">
        <v>244</v>
      </c>
      <c r="B15" s="21" t="s">
        <v>1116</v>
      </c>
      <c r="C15" s="28" t="s">
        <v>15</v>
      </c>
      <c r="D15" s="29" t="s">
        <v>1117</v>
      </c>
      <c r="E15" s="40" t="s">
        <v>814</v>
      </c>
      <c r="F15" s="22">
        <v>28</v>
      </c>
      <c r="G15" s="22">
        <v>60</v>
      </c>
      <c r="H15" s="23">
        <v>28</v>
      </c>
      <c r="I15" s="22">
        <f t="shared" si="0"/>
        <v>32</v>
      </c>
      <c r="J15" s="22" t="s">
        <v>16</v>
      </c>
      <c r="K15" s="24"/>
      <c r="L15" s="25"/>
    </row>
    <row r="16" spans="1:12" ht="15.75" x14ac:dyDescent="0.25">
      <c r="A16" s="20" t="s">
        <v>40</v>
      </c>
      <c r="B16" s="21" t="s">
        <v>1088</v>
      </c>
      <c r="C16" s="28" t="s">
        <v>15</v>
      </c>
      <c r="D16" s="29" t="s">
        <v>54</v>
      </c>
      <c r="E16" s="40" t="s">
        <v>59</v>
      </c>
      <c r="F16" s="22">
        <v>28650</v>
      </c>
      <c r="G16" s="22">
        <v>50000</v>
      </c>
      <c r="H16" s="23">
        <v>28650</v>
      </c>
      <c r="I16" s="22">
        <f>G16-H16</f>
        <v>21350</v>
      </c>
      <c r="J16" s="22" t="s">
        <v>16</v>
      </c>
      <c r="K16" s="24"/>
      <c r="L16" s="25"/>
    </row>
    <row r="17" spans="1:12" ht="15.75" x14ac:dyDescent="0.25">
      <c r="A17" s="20" t="s">
        <v>30</v>
      </c>
      <c r="B17" s="21" t="s">
        <v>1115</v>
      </c>
      <c r="C17" s="28" t="s">
        <v>36</v>
      </c>
      <c r="D17" s="29" t="s">
        <v>37</v>
      </c>
      <c r="E17" s="40" t="s">
        <v>313</v>
      </c>
      <c r="F17" s="22">
        <v>14000</v>
      </c>
      <c r="G17" s="42">
        <v>21000</v>
      </c>
      <c r="H17" s="23">
        <v>14000</v>
      </c>
      <c r="I17" s="22">
        <f t="shared" ref="I17" si="2">G17-H17</f>
        <v>7000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1091</v>
      </c>
      <c r="C18" s="28" t="s">
        <v>1092</v>
      </c>
      <c r="D18" s="29" t="s">
        <v>1093</v>
      </c>
      <c r="E18" s="40" t="s">
        <v>46</v>
      </c>
      <c r="F18" s="22">
        <v>209.3</v>
      </c>
      <c r="G18" s="22">
        <v>1000</v>
      </c>
      <c r="H18" s="23">
        <f>321.7+209.3</f>
        <v>531</v>
      </c>
      <c r="I18" s="22">
        <f>G18-H18</f>
        <v>469</v>
      </c>
      <c r="J18" s="22" t="s">
        <v>16</v>
      </c>
      <c r="K18" s="24"/>
      <c r="L18" s="25"/>
    </row>
    <row r="19" spans="1:12" ht="15.75" x14ac:dyDescent="0.25">
      <c r="A19" s="20" t="s">
        <v>28</v>
      </c>
      <c r="B19" s="21" t="s">
        <v>1094</v>
      </c>
      <c r="C19" s="28" t="s">
        <v>15</v>
      </c>
      <c r="D19" s="29" t="s">
        <v>344</v>
      </c>
      <c r="E19" s="40" t="s">
        <v>361</v>
      </c>
      <c r="F19" s="22">
        <v>48000</v>
      </c>
      <c r="G19" s="22">
        <v>100000</v>
      </c>
      <c r="H19" s="23">
        <f>92000+48000</f>
        <v>140000</v>
      </c>
      <c r="I19" s="22">
        <f>G19-H19</f>
        <v>-40000</v>
      </c>
      <c r="J19" s="22" t="s">
        <v>16</v>
      </c>
      <c r="K19" s="24"/>
      <c r="L19" s="25"/>
    </row>
    <row r="20" spans="1:12" ht="15.75" x14ac:dyDescent="0.25">
      <c r="A20" s="20" t="s">
        <v>14</v>
      </c>
      <c r="B20" s="21" t="s">
        <v>1113</v>
      </c>
      <c r="C20" s="28" t="s">
        <v>15</v>
      </c>
      <c r="D20" s="29" t="s">
        <v>18</v>
      </c>
      <c r="E20" s="40" t="s">
        <v>1114</v>
      </c>
      <c r="F20" s="22">
        <v>500</v>
      </c>
      <c r="G20" s="22">
        <v>5000</v>
      </c>
      <c r="H20" s="23">
        <v>500</v>
      </c>
      <c r="I20" s="22">
        <f>G20-H20</f>
        <v>4500</v>
      </c>
      <c r="J20" s="22" t="s">
        <v>16</v>
      </c>
      <c r="K20" s="24"/>
      <c r="L20" s="25"/>
    </row>
    <row r="21" spans="1:12" ht="15.75" x14ac:dyDescent="0.25">
      <c r="A21" s="20" t="s">
        <v>19</v>
      </c>
      <c r="B21" s="21" t="s">
        <v>1098</v>
      </c>
      <c r="C21" s="28" t="s">
        <v>15</v>
      </c>
      <c r="D21" s="29" t="s">
        <v>1099</v>
      </c>
      <c r="E21" s="40" t="s">
        <v>1100</v>
      </c>
      <c r="F21" s="22">
        <v>19400</v>
      </c>
      <c r="G21" s="22">
        <v>50000</v>
      </c>
      <c r="H21" s="23">
        <f>18000+19400</f>
        <v>37400</v>
      </c>
      <c r="I21" s="22">
        <f>G21-H21</f>
        <v>12600</v>
      </c>
      <c r="J21" s="22" t="s">
        <v>16</v>
      </c>
      <c r="K21" s="24"/>
      <c r="L21" s="25"/>
    </row>
    <row r="22" spans="1:12" ht="15.75" x14ac:dyDescent="0.25">
      <c r="A22" s="20" t="s">
        <v>14</v>
      </c>
      <c r="B22" s="21" t="s">
        <v>1110</v>
      </c>
      <c r="C22" s="28" t="s">
        <v>1111</v>
      </c>
      <c r="D22" s="29" t="s">
        <v>18</v>
      </c>
      <c r="E22" s="40" t="s">
        <v>1112</v>
      </c>
      <c r="F22" s="22">
        <v>2040</v>
      </c>
      <c r="G22" s="42">
        <v>2000</v>
      </c>
      <c r="H22" s="23">
        <v>2040</v>
      </c>
      <c r="I22" s="22">
        <f t="shared" si="0"/>
        <v>-40</v>
      </c>
      <c r="J22" s="22" t="s">
        <v>24</v>
      </c>
      <c r="K22" s="24"/>
      <c r="L22" s="25"/>
    </row>
    <row r="23" spans="1:12" ht="15.75" x14ac:dyDescent="0.25">
      <c r="A23" s="20" t="s">
        <v>82</v>
      </c>
      <c r="B23" s="21" t="s">
        <v>1118</v>
      </c>
      <c r="C23" s="28" t="s">
        <v>15</v>
      </c>
      <c r="D23" s="29" t="s">
        <v>1119</v>
      </c>
      <c r="E23" s="40" t="s">
        <v>1120</v>
      </c>
      <c r="F23" s="22">
        <v>108</v>
      </c>
      <c r="G23" s="42">
        <v>200</v>
      </c>
      <c r="H23" s="23">
        <v>108</v>
      </c>
      <c r="I23" s="22">
        <f>G23-H23</f>
        <v>92</v>
      </c>
      <c r="J23" s="22" t="s">
        <v>16</v>
      </c>
      <c r="K23" s="24"/>
      <c r="L23" s="25"/>
    </row>
    <row r="24" spans="1:12" ht="15.75" x14ac:dyDescent="0.25">
      <c r="A24" s="20" t="s">
        <v>44</v>
      </c>
      <c r="B24" s="21" t="s">
        <v>444</v>
      </c>
      <c r="C24" s="28" t="s">
        <v>15</v>
      </c>
      <c r="D24" s="29" t="s">
        <v>47</v>
      </c>
      <c r="E24" s="40" t="s">
        <v>45</v>
      </c>
      <c r="F24" s="22">
        <v>27000</v>
      </c>
      <c r="G24" s="42">
        <v>500000</v>
      </c>
      <c r="H24" s="23">
        <f>591000+27000</f>
        <v>618000</v>
      </c>
      <c r="I24" s="22">
        <f t="shared" si="0"/>
        <v>-118000</v>
      </c>
      <c r="J24" s="22" t="s">
        <v>24</v>
      </c>
      <c r="K24" s="24"/>
      <c r="L24" s="25"/>
    </row>
    <row r="25" spans="1:12" ht="16.5" thickBot="1" x14ac:dyDescent="0.3">
      <c r="A25" s="30"/>
      <c r="B25" s="31"/>
      <c r="C25" s="32"/>
      <c r="D25" s="33"/>
      <c r="E25" s="41"/>
      <c r="F25" s="34"/>
      <c r="G25" s="34"/>
      <c r="H25" s="35"/>
      <c r="I25" s="34"/>
      <c r="J25" s="34" t="s">
        <v>64</v>
      </c>
      <c r="K25" s="36"/>
      <c r="L25" s="37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L110"/>
  <sheetViews>
    <sheetView workbookViewId="0">
      <pane xSplit="3" topLeftCell="D1" activePane="topRight" state="frozen"/>
      <selection pane="topRight" activeCell="A19" sqref="A19:XFD1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1121</v>
      </c>
      <c r="C4" s="26" t="s">
        <v>15</v>
      </c>
      <c r="D4" s="27" t="s">
        <v>18</v>
      </c>
      <c r="E4" s="39" t="s">
        <v>379</v>
      </c>
      <c r="F4" s="16">
        <v>4150</v>
      </c>
      <c r="G4" s="16">
        <v>30000</v>
      </c>
      <c r="H4" s="17">
        <f>16000+4150</f>
        <v>20150</v>
      </c>
      <c r="I4" s="16">
        <f t="shared" ref="I4:I24" si="0">G4-H4</f>
        <v>9850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939</v>
      </c>
      <c r="C5" s="28" t="s">
        <v>204</v>
      </c>
      <c r="D5" s="29" t="s">
        <v>1087</v>
      </c>
      <c r="E5" s="40" t="s">
        <v>206</v>
      </c>
      <c r="F5" s="22">
        <v>229.2</v>
      </c>
      <c r="G5" s="42">
        <v>3000</v>
      </c>
      <c r="H5" s="23">
        <f>173.3+229.2</f>
        <v>402.5</v>
      </c>
      <c r="I5" s="22">
        <f t="shared" si="0"/>
        <v>2597.5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1124</v>
      </c>
      <c r="C6" s="28" t="s">
        <v>1125</v>
      </c>
      <c r="D6" s="29" t="s">
        <v>1126</v>
      </c>
      <c r="E6" s="40" t="s">
        <v>657</v>
      </c>
      <c r="F6" s="22">
        <v>62.1</v>
      </c>
      <c r="G6" s="42">
        <v>300</v>
      </c>
      <c r="H6" s="23">
        <v>62.1</v>
      </c>
      <c r="I6" s="22">
        <f t="shared" si="0"/>
        <v>237.9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930</v>
      </c>
      <c r="C7" s="28" t="s">
        <v>15</v>
      </c>
      <c r="D7" s="29" t="s">
        <v>77</v>
      </c>
      <c r="E7" s="40" t="s">
        <v>1127</v>
      </c>
      <c r="F7" s="22">
        <v>30000</v>
      </c>
      <c r="G7" s="42">
        <v>100000</v>
      </c>
      <c r="H7" s="23">
        <v>86000</v>
      </c>
      <c r="I7" s="22">
        <f t="shared" si="0"/>
        <v>14000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1021</v>
      </c>
      <c r="C8" s="28" t="s">
        <v>210</v>
      </c>
      <c r="D8" s="29" t="s">
        <v>1011</v>
      </c>
      <c r="E8" s="40" t="s">
        <v>212</v>
      </c>
      <c r="F8" s="22">
        <v>625.5</v>
      </c>
      <c r="G8" s="22">
        <v>6000</v>
      </c>
      <c r="H8" s="23">
        <f>587.7+451.3+1247.1+488.2+519.9+625.5</f>
        <v>3919.7</v>
      </c>
      <c r="I8" s="22">
        <f t="shared" si="0"/>
        <v>2080.3000000000002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1128</v>
      </c>
      <c r="C9" s="28" t="s">
        <v>34</v>
      </c>
      <c r="D9" s="29" t="s">
        <v>18</v>
      </c>
      <c r="E9" s="40" t="s">
        <v>127</v>
      </c>
      <c r="F9" s="22">
        <v>4000</v>
      </c>
      <c r="G9" s="42">
        <v>50000</v>
      </c>
      <c r="H9" s="23">
        <v>4000</v>
      </c>
      <c r="I9" s="22">
        <f t="shared" si="0"/>
        <v>46000</v>
      </c>
      <c r="J9" s="22" t="s">
        <v>16</v>
      </c>
      <c r="K9" s="24"/>
      <c r="L9" s="25"/>
    </row>
    <row r="10" spans="1:12" ht="15.75" x14ac:dyDescent="0.25">
      <c r="A10" s="20" t="s">
        <v>17</v>
      </c>
      <c r="B10" s="21" t="s">
        <v>1054</v>
      </c>
      <c r="C10" s="28" t="s">
        <v>870</v>
      </c>
      <c r="D10" s="29" t="s">
        <v>18</v>
      </c>
      <c r="E10" s="40" t="s">
        <v>342</v>
      </c>
      <c r="F10" s="22">
        <v>392</v>
      </c>
      <c r="G10" s="42">
        <v>1000</v>
      </c>
      <c r="H10" s="23">
        <v>392</v>
      </c>
      <c r="I10" s="22">
        <f>G10-H10</f>
        <v>608</v>
      </c>
      <c r="J10" s="22" t="s">
        <v>16</v>
      </c>
      <c r="K10" s="24"/>
      <c r="L10" s="25"/>
    </row>
    <row r="11" spans="1:12" ht="15.75" x14ac:dyDescent="0.25">
      <c r="A11" s="20" t="s">
        <v>228</v>
      </c>
      <c r="B11" s="21" t="s">
        <v>1089</v>
      </c>
      <c r="C11" s="28" t="s">
        <v>210</v>
      </c>
      <c r="D11" s="29" t="s">
        <v>18</v>
      </c>
      <c r="E11" s="40" t="s">
        <v>1129</v>
      </c>
      <c r="F11" s="22">
        <v>27000</v>
      </c>
      <c r="G11" s="42">
        <v>100000</v>
      </c>
      <c r="H11" s="23">
        <v>27000</v>
      </c>
      <c r="I11" s="22">
        <f>G11-H11</f>
        <v>73000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1130</v>
      </c>
      <c r="C12" s="28" t="s">
        <v>1131</v>
      </c>
      <c r="D12" s="29" t="s">
        <v>27</v>
      </c>
      <c r="E12" s="40" t="s">
        <v>1132</v>
      </c>
      <c r="F12" s="22">
        <v>18900</v>
      </c>
      <c r="G12" s="22">
        <v>50000</v>
      </c>
      <c r="H12" s="23">
        <v>18900</v>
      </c>
      <c r="I12" s="22">
        <f t="shared" ref="I12" si="1">G12-H12</f>
        <v>31100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140</v>
      </c>
      <c r="C13" s="28" t="s">
        <v>273</v>
      </c>
      <c r="D13" s="29" t="s">
        <v>27</v>
      </c>
      <c r="E13" s="40" t="s">
        <v>1086</v>
      </c>
      <c r="F13" s="22">
        <v>4000</v>
      </c>
      <c r="G13" s="42">
        <v>200000</v>
      </c>
      <c r="H13" s="23">
        <f>16000+12000+4000</f>
        <v>32000</v>
      </c>
      <c r="I13" s="22">
        <f t="shared" si="0"/>
        <v>168000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128</v>
      </c>
      <c r="C14" s="28" t="s">
        <v>32</v>
      </c>
      <c r="D14" s="29" t="s">
        <v>18</v>
      </c>
      <c r="E14" s="40" t="s">
        <v>33</v>
      </c>
      <c r="F14" s="22">
        <v>1500</v>
      </c>
      <c r="G14" s="42">
        <v>20000</v>
      </c>
      <c r="H14" s="23">
        <v>7414</v>
      </c>
      <c r="I14" s="22">
        <f t="shared" si="0"/>
        <v>12586</v>
      </c>
      <c r="J14" s="22" t="s">
        <v>16</v>
      </c>
      <c r="K14" s="24"/>
      <c r="L14" s="25"/>
    </row>
    <row r="15" spans="1:12" ht="15.75" x14ac:dyDescent="0.25">
      <c r="A15" s="20" t="s">
        <v>20</v>
      </c>
      <c r="B15" s="21" t="s">
        <v>1038</v>
      </c>
      <c r="C15" s="28" t="s">
        <v>34</v>
      </c>
      <c r="D15" s="29" t="s">
        <v>18</v>
      </c>
      <c r="E15" s="40" t="s">
        <v>1039</v>
      </c>
      <c r="F15" s="22">
        <f>3250+4000</f>
        <v>7250</v>
      </c>
      <c r="G15" s="42">
        <v>100000</v>
      </c>
      <c r="H15" s="23">
        <f>13250+19000+7500+4724+7000+3250+7250</f>
        <v>61974</v>
      </c>
      <c r="I15" s="22">
        <f t="shared" si="0"/>
        <v>38026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869</v>
      </c>
      <c r="C16" s="28" t="s">
        <v>870</v>
      </c>
      <c r="D16" s="29" t="s">
        <v>18</v>
      </c>
      <c r="E16" s="40" t="s">
        <v>1133</v>
      </c>
      <c r="F16" s="22">
        <v>80</v>
      </c>
      <c r="G16" s="22">
        <v>1000</v>
      </c>
      <c r="H16" s="23">
        <v>1062</v>
      </c>
      <c r="I16" s="22">
        <f>G16-H16</f>
        <v>-62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1050</v>
      </c>
      <c r="C17" s="28" t="s">
        <v>32</v>
      </c>
      <c r="D17" s="29" t="s">
        <v>18</v>
      </c>
      <c r="E17" s="40" t="s">
        <v>776</v>
      </c>
      <c r="F17" s="22">
        <v>2591</v>
      </c>
      <c r="G17" s="22">
        <v>10000</v>
      </c>
      <c r="H17" s="23">
        <v>2591</v>
      </c>
      <c r="I17" s="22">
        <f>G17-H17</f>
        <v>7409</v>
      </c>
      <c r="J17" s="22" t="s">
        <v>16</v>
      </c>
      <c r="K17" s="24"/>
      <c r="L17" s="25"/>
    </row>
    <row r="18" spans="1:12" ht="15.75" x14ac:dyDescent="0.25">
      <c r="A18" s="20" t="s">
        <v>17</v>
      </c>
      <c r="B18" s="21" t="s">
        <v>1134</v>
      </c>
      <c r="C18" s="28" t="s">
        <v>1135</v>
      </c>
      <c r="D18" s="29" t="s">
        <v>77</v>
      </c>
      <c r="E18" s="40" t="s">
        <v>1136</v>
      </c>
      <c r="F18" s="22">
        <v>1850</v>
      </c>
      <c r="G18" s="42">
        <v>6000</v>
      </c>
      <c r="H18" s="23">
        <v>1850</v>
      </c>
      <c r="I18" s="22">
        <f t="shared" ref="I18" si="2">G18-H18</f>
        <v>4150</v>
      </c>
      <c r="J18" s="22" t="s">
        <v>16</v>
      </c>
      <c r="K18" s="24"/>
      <c r="L18" s="25"/>
    </row>
    <row r="19" spans="1:12" ht="15.75" x14ac:dyDescent="0.25">
      <c r="A19" s="20" t="s">
        <v>17</v>
      </c>
      <c r="B19" s="21" t="s">
        <v>1044</v>
      </c>
      <c r="C19" s="28" t="s">
        <v>950</v>
      </c>
      <c r="D19" s="29" t="s">
        <v>364</v>
      </c>
      <c r="E19" s="40" t="s">
        <v>951</v>
      </c>
      <c r="F19" s="22">
        <f>3000+75</f>
        <v>3075</v>
      </c>
      <c r="G19" s="22">
        <v>45000</v>
      </c>
      <c r="H19" s="23">
        <f>24025+3075</f>
        <v>27100</v>
      </c>
      <c r="I19" s="22">
        <f>G19-H19</f>
        <v>17900</v>
      </c>
      <c r="J19" s="22" t="s">
        <v>16</v>
      </c>
      <c r="K19" s="24"/>
      <c r="L19" s="25"/>
    </row>
    <row r="20" spans="1:12" ht="15.75" x14ac:dyDescent="0.25">
      <c r="A20" s="20" t="s">
        <v>14</v>
      </c>
      <c r="B20" s="21" t="s">
        <v>1113</v>
      </c>
      <c r="C20" s="28" t="s">
        <v>15</v>
      </c>
      <c r="D20" s="29" t="s">
        <v>18</v>
      </c>
      <c r="E20" s="40" t="s">
        <v>1114</v>
      </c>
      <c r="F20" s="22">
        <v>500</v>
      </c>
      <c r="G20" s="22">
        <v>5000</v>
      </c>
      <c r="H20" s="23">
        <v>4200</v>
      </c>
      <c r="I20" s="22">
        <f>G20-H20</f>
        <v>800</v>
      </c>
      <c r="J20" s="22" t="s">
        <v>16</v>
      </c>
      <c r="K20" s="24"/>
      <c r="L20" s="25"/>
    </row>
    <row r="21" spans="1:12" ht="15.75" x14ac:dyDescent="0.25">
      <c r="A21" s="20" t="s">
        <v>19</v>
      </c>
      <c r="B21" s="21" t="s">
        <v>1098</v>
      </c>
      <c r="C21" s="28" t="s">
        <v>15</v>
      </c>
      <c r="D21" s="29" t="s">
        <v>1099</v>
      </c>
      <c r="E21" s="40" t="s">
        <v>1100</v>
      </c>
      <c r="F21" s="22">
        <v>19400</v>
      </c>
      <c r="G21" s="22">
        <v>50000</v>
      </c>
      <c r="H21" s="23">
        <f>18000+19400</f>
        <v>37400</v>
      </c>
      <c r="I21" s="22">
        <f>G21-H21</f>
        <v>12600</v>
      </c>
      <c r="J21" s="22" t="s">
        <v>16</v>
      </c>
      <c r="K21" s="24"/>
      <c r="L21" s="25"/>
    </row>
    <row r="22" spans="1:12" ht="15.75" x14ac:dyDescent="0.25">
      <c r="A22" s="20" t="s">
        <v>14</v>
      </c>
      <c r="B22" s="21" t="s">
        <v>1122</v>
      </c>
      <c r="C22" s="28" t="s">
        <v>1111</v>
      </c>
      <c r="D22" s="29" t="s">
        <v>18</v>
      </c>
      <c r="E22" s="40" t="s">
        <v>1123</v>
      </c>
      <c r="F22" s="22">
        <v>1135</v>
      </c>
      <c r="G22" s="42">
        <v>2000</v>
      </c>
      <c r="H22" s="23">
        <v>1135</v>
      </c>
      <c r="I22" s="22">
        <f t="shared" si="0"/>
        <v>865</v>
      </c>
      <c r="J22" s="22" t="s">
        <v>16</v>
      </c>
      <c r="K22" s="24"/>
      <c r="L22" s="25"/>
    </row>
    <row r="23" spans="1:12" ht="15.75" x14ac:dyDescent="0.25">
      <c r="A23" s="20" t="s">
        <v>82</v>
      </c>
      <c r="B23" s="21" t="s">
        <v>1118</v>
      </c>
      <c r="C23" s="28" t="s">
        <v>15</v>
      </c>
      <c r="D23" s="29" t="s">
        <v>1119</v>
      </c>
      <c r="E23" s="40" t="s">
        <v>1120</v>
      </c>
      <c r="F23" s="22">
        <v>108</v>
      </c>
      <c r="G23" s="42">
        <v>200</v>
      </c>
      <c r="H23" s="23">
        <v>108</v>
      </c>
      <c r="I23" s="22">
        <f>G23-H23</f>
        <v>92</v>
      </c>
      <c r="J23" s="22" t="s">
        <v>16</v>
      </c>
      <c r="K23" s="24"/>
      <c r="L23" s="25"/>
    </row>
    <row r="24" spans="1:12" ht="15.75" x14ac:dyDescent="0.25">
      <c r="A24" s="20" t="s">
        <v>44</v>
      </c>
      <c r="B24" s="21" t="s">
        <v>444</v>
      </c>
      <c r="C24" s="28" t="s">
        <v>15</v>
      </c>
      <c r="D24" s="29" t="s">
        <v>47</v>
      </c>
      <c r="E24" s="40" t="s">
        <v>45</v>
      </c>
      <c r="F24" s="22">
        <v>14000</v>
      </c>
      <c r="G24" s="42">
        <v>500000</v>
      </c>
      <c r="H24" s="23">
        <f>591000+27000+14000</f>
        <v>632000</v>
      </c>
      <c r="I24" s="22">
        <f t="shared" si="0"/>
        <v>-132000</v>
      </c>
      <c r="J24" s="22" t="s">
        <v>24</v>
      </c>
      <c r="K24" s="24"/>
      <c r="L24" s="25"/>
    </row>
    <row r="25" spans="1:12" ht="16.5" thickBot="1" x14ac:dyDescent="0.3">
      <c r="A25" s="30"/>
      <c r="B25" s="31"/>
      <c r="C25" s="32"/>
      <c r="D25" s="33"/>
      <c r="E25" s="41"/>
      <c r="F25" s="34"/>
      <c r="G25" s="34"/>
      <c r="H25" s="35"/>
      <c r="I25" s="34"/>
      <c r="J25" s="34" t="s">
        <v>64</v>
      </c>
      <c r="K25" s="36"/>
      <c r="L25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L30"/>
  <sheetViews>
    <sheetView workbookViewId="0">
      <pane xSplit="3" topLeftCell="E1" activePane="topRight" state="frozen"/>
      <selection pane="topRight" activeCell="A5" sqref="A5:XFD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1121</v>
      </c>
      <c r="C4" s="26" t="s">
        <v>15</v>
      </c>
      <c r="D4" s="27" t="s">
        <v>18</v>
      </c>
      <c r="E4" s="39" t="s">
        <v>379</v>
      </c>
      <c r="F4" s="16">
        <v>4150</v>
      </c>
      <c r="G4" s="16">
        <v>30000</v>
      </c>
      <c r="H4" s="17">
        <f>16000+4150</f>
        <v>20150</v>
      </c>
      <c r="I4" s="16">
        <f t="shared" ref="I4:I29" si="0">G4-H4</f>
        <v>9850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939</v>
      </c>
      <c r="C5" s="28" t="s">
        <v>204</v>
      </c>
      <c r="D5" s="29" t="s">
        <v>1087</v>
      </c>
      <c r="E5" s="40" t="s">
        <v>206</v>
      </c>
      <c r="F5" s="22">
        <f>271.7+0</f>
        <v>271.7</v>
      </c>
      <c r="G5" s="42">
        <v>3000</v>
      </c>
      <c r="H5" s="23">
        <f>173.3+229.2+271.7</f>
        <v>674.2</v>
      </c>
      <c r="I5" s="22">
        <f t="shared" si="0"/>
        <v>2325.8000000000002</v>
      </c>
      <c r="J5" s="22" t="s">
        <v>16</v>
      </c>
      <c r="K5" s="24"/>
      <c r="L5" s="25"/>
    </row>
    <row r="6" spans="1:12" ht="15.75" x14ac:dyDescent="0.25">
      <c r="A6" s="20" t="s">
        <v>44</v>
      </c>
      <c r="B6" s="21" t="s">
        <v>444</v>
      </c>
      <c r="C6" s="28" t="s">
        <v>15</v>
      </c>
      <c r="D6" s="29" t="s">
        <v>47</v>
      </c>
      <c r="E6" s="40" t="s">
        <v>45</v>
      </c>
      <c r="F6" s="22">
        <v>9000</v>
      </c>
      <c r="G6" s="42">
        <v>500000</v>
      </c>
      <c r="H6" s="23">
        <f>591000+27000+9000</f>
        <v>627000</v>
      </c>
      <c r="I6" s="22">
        <f t="shared" si="0"/>
        <v>-127000</v>
      </c>
      <c r="J6" s="22" t="s">
        <v>24</v>
      </c>
      <c r="K6" s="24"/>
      <c r="L6" s="25"/>
    </row>
    <row r="7" spans="1:12" ht="15.75" x14ac:dyDescent="0.25">
      <c r="A7" s="20" t="s">
        <v>19</v>
      </c>
      <c r="B7" s="21" t="s">
        <v>1137</v>
      </c>
      <c r="C7" s="28" t="s">
        <v>15</v>
      </c>
      <c r="D7" s="29" t="s">
        <v>53</v>
      </c>
      <c r="E7" s="40" t="s">
        <v>55</v>
      </c>
      <c r="F7" s="22">
        <v>10000</v>
      </c>
      <c r="G7" s="42">
        <v>50000</v>
      </c>
      <c r="H7" s="23">
        <v>10000</v>
      </c>
      <c r="I7" s="22">
        <f t="shared" si="0"/>
        <v>40000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1021</v>
      </c>
      <c r="C8" s="28" t="s">
        <v>210</v>
      </c>
      <c r="D8" s="29" t="s">
        <v>1011</v>
      </c>
      <c r="E8" s="40" t="s">
        <v>212</v>
      </c>
      <c r="F8" s="22">
        <f>53.1+224.48</f>
        <v>277.58</v>
      </c>
      <c r="G8" s="22">
        <v>6000</v>
      </c>
      <c r="H8" s="23">
        <f>587.7+451.3+1247.1+488.2+519.9+625.5+277.58</f>
        <v>4197.28</v>
      </c>
      <c r="I8" s="22">
        <f t="shared" si="0"/>
        <v>1802.7200000000003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1089</v>
      </c>
      <c r="C9" s="28" t="s">
        <v>210</v>
      </c>
      <c r="D9" s="29" t="s">
        <v>18</v>
      </c>
      <c r="E9" s="40" t="s">
        <v>1129</v>
      </c>
      <c r="F9" s="22">
        <v>24000</v>
      </c>
      <c r="G9" s="42">
        <v>500000</v>
      </c>
      <c r="H9" s="23">
        <v>119000</v>
      </c>
      <c r="I9" s="22">
        <f>G9-H9</f>
        <v>381000</v>
      </c>
      <c r="J9" s="22" t="s">
        <v>16</v>
      </c>
      <c r="K9" s="24"/>
      <c r="L9" s="25"/>
    </row>
    <row r="10" spans="1:12" ht="15.75" x14ac:dyDescent="0.25">
      <c r="A10" s="20" t="s">
        <v>40</v>
      </c>
      <c r="B10" s="21" t="s">
        <v>1144</v>
      </c>
      <c r="C10" s="28" t="s">
        <v>62</v>
      </c>
      <c r="D10" s="29" t="s">
        <v>54</v>
      </c>
      <c r="E10" s="40" t="s">
        <v>59</v>
      </c>
      <c r="F10" s="22">
        <v>53000</v>
      </c>
      <c r="G10" s="42">
        <v>300000</v>
      </c>
      <c r="H10" s="23">
        <v>53000</v>
      </c>
      <c r="I10" s="22">
        <f t="shared" si="0"/>
        <v>247000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1095</v>
      </c>
      <c r="C11" s="28" t="s">
        <v>15</v>
      </c>
      <c r="D11" s="29" t="s">
        <v>1096</v>
      </c>
      <c r="E11" s="40" t="s">
        <v>1097</v>
      </c>
      <c r="F11" s="22">
        <v>2000</v>
      </c>
      <c r="G11" s="22">
        <v>20000</v>
      </c>
      <c r="H11" s="23">
        <f>18700+2000</f>
        <v>20700</v>
      </c>
      <c r="I11" s="22">
        <f>G11-H11</f>
        <v>-700</v>
      </c>
      <c r="J11" s="22" t="s">
        <v>24</v>
      </c>
      <c r="K11" s="24"/>
      <c r="L11" s="25"/>
    </row>
    <row r="12" spans="1:12" ht="15.75" x14ac:dyDescent="0.25">
      <c r="A12" s="20" t="s">
        <v>22</v>
      </c>
      <c r="B12" s="21" t="s">
        <v>1145</v>
      </c>
      <c r="C12" s="28" t="s">
        <v>115</v>
      </c>
      <c r="D12" s="29" t="s">
        <v>1087</v>
      </c>
      <c r="E12" s="40" t="s">
        <v>38</v>
      </c>
      <c r="F12" s="22">
        <f>289.9+371.8</f>
        <v>661.7</v>
      </c>
      <c r="G12" s="22">
        <v>1000</v>
      </c>
      <c r="H12" s="23">
        <v>661.7</v>
      </c>
      <c r="I12" s="22">
        <f>G12-H12</f>
        <v>338.29999999999995</v>
      </c>
      <c r="J12" s="22" t="s">
        <v>16</v>
      </c>
      <c r="K12" s="24"/>
      <c r="L12" s="25"/>
    </row>
    <row r="13" spans="1:12" ht="15.75" x14ac:dyDescent="0.25">
      <c r="A13" s="20" t="s">
        <v>28</v>
      </c>
      <c r="B13" s="21" t="s">
        <v>1146</v>
      </c>
      <c r="C13" s="28" t="s">
        <v>15</v>
      </c>
      <c r="D13" s="29" t="s">
        <v>344</v>
      </c>
      <c r="E13" s="40" t="s">
        <v>361</v>
      </c>
      <c r="F13" s="22">
        <v>24000</v>
      </c>
      <c r="G13" s="22">
        <v>100000</v>
      </c>
      <c r="H13" s="23">
        <v>102000</v>
      </c>
      <c r="I13" s="22">
        <f>G13-H13</f>
        <v>-2000</v>
      </c>
      <c r="J13" s="22" t="s">
        <v>23</v>
      </c>
      <c r="K13" s="24"/>
      <c r="L13" s="25"/>
    </row>
    <row r="14" spans="1:12" ht="15.75" x14ac:dyDescent="0.25">
      <c r="A14" s="20" t="s">
        <v>26</v>
      </c>
      <c r="B14" s="21" t="s">
        <v>958</v>
      </c>
      <c r="C14" s="28" t="s">
        <v>61</v>
      </c>
      <c r="D14" s="29" t="s">
        <v>1011</v>
      </c>
      <c r="E14" s="40" t="s">
        <v>104</v>
      </c>
      <c r="F14" s="22">
        <v>304.2</v>
      </c>
      <c r="G14" s="42">
        <v>300</v>
      </c>
      <c r="H14" s="23">
        <v>304.2</v>
      </c>
      <c r="I14" s="22">
        <f>G14-H14</f>
        <v>-4.1999999999999886</v>
      </c>
      <c r="J14" s="22" t="s">
        <v>23</v>
      </c>
      <c r="K14" s="24"/>
      <c r="L14" s="25"/>
    </row>
    <row r="15" spans="1:12" ht="15.75" x14ac:dyDescent="0.25">
      <c r="A15" s="20" t="s">
        <v>17</v>
      </c>
      <c r="B15" s="21" t="s">
        <v>1044</v>
      </c>
      <c r="C15" s="28" t="s">
        <v>950</v>
      </c>
      <c r="D15" s="29" t="s">
        <v>364</v>
      </c>
      <c r="E15" s="40" t="s">
        <v>951</v>
      </c>
      <c r="F15" s="22">
        <v>150</v>
      </c>
      <c r="G15" s="22">
        <v>45000</v>
      </c>
      <c r="H15" s="23">
        <f>24025+3075+150</f>
        <v>27250</v>
      </c>
      <c r="I15" s="22">
        <f>G15-H15</f>
        <v>17750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1130</v>
      </c>
      <c r="C16" s="28" t="s">
        <v>1131</v>
      </c>
      <c r="D16" s="29" t="s">
        <v>27</v>
      </c>
      <c r="E16" s="40" t="s">
        <v>1132</v>
      </c>
      <c r="F16" s="22">
        <v>6000</v>
      </c>
      <c r="G16" s="22">
        <v>50000</v>
      </c>
      <c r="H16" s="23">
        <f>18900+6000</f>
        <v>24900</v>
      </c>
      <c r="I16" s="22">
        <f t="shared" ref="I16" si="1">G16-H16</f>
        <v>25100</v>
      </c>
      <c r="J16" s="22" t="s">
        <v>16</v>
      </c>
      <c r="K16" s="24"/>
      <c r="L16" s="25"/>
    </row>
    <row r="17" spans="1:12" ht="15.75" x14ac:dyDescent="0.25">
      <c r="A17" s="20" t="s">
        <v>21</v>
      </c>
      <c r="B17" s="21" t="s">
        <v>140</v>
      </c>
      <c r="C17" s="28" t="s">
        <v>273</v>
      </c>
      <c r="D17" s="29" t="s">
        <v>27</v>
      </c>
      <c r="E17" s="40" t="s">
        <v>1086</v>
      </c>
      <c r="F17" s="22">
        <v>8150</v>
      </c>
      <c r="G17" s="42">
        <v>200000</v>
      </c>
      <c r="H17" s="23">
        <f>16000+12000+4000+8150</f>
        <v>40150</v>
      </c>
      <c r="I17" s="22">
        <f t="shared" si="0"/>
        <v>159850</v>
      </c>
      <c r="J17" s="22" t="s">
        <v>16</v>
      </c>
      <c r="K17" s="24"/>
      <c r="L17" s="25"/>
    </row>
    <row r="18" spans="1:12" ht="15.75" x14ac:dyDescent="0.25">
      <c r="A18" s="20" t="s">
        <v>244</v>
      </c>
      <c r="B18" s="21" t="s">
        <v>1116</v>
      </c>
      <c r="C18" s="28" t="s">
        <v>15</v>
      </c>
      <c r="D18" s="29" t="s">
        <v>1117</v>
      </c>
      <c r="E18" s="40" t="s">
        <v>814</v>
      </c>
      <c r="F18" s="22">
        <v>32</v>
      </c>
      <c r="G18" s="22">
        <v>60</v>
      </c>
      <c r="H18" s="23">
        <f>28+32</f>
        <v>60</v>
      </c>
      <c r="I18" s="22">
        <f t="shared" si="0"/>
        <v>0</v>
      </c>
      <c r="J18" s="22" t="s">
        <v>23</v>
      </c>
      <c r="K18" s="24"/>
      <c r="L18" s="25"/>
    </row>
    <row r="19" spans="1:12" ht="15.75" x14ac:dyDescent="0.25">
      <c r="A19" s="20" t="s">
        <v>20</v>
      </c>
      <c r="B19" s="21" t="s">
        <v>1038</v>
      </c>
      <c r="C19" s="28" t="s">
        <v>34</v>
      </c>
      <c r="D19" s="29" t="s">
        <v>18</v>
      </c>
      <c r="E19" s="40" t="s">
        <v>1039</v>
      </c>
      <c r="F19" s="22">
        <v>14750</v>
      </c>
      <c r="G19" s="42">
        <v>100000</v>
      </c>
      <c r="H19" s="23">
        <f>13250+19000+7500+4724+7000+3250+7250+14750</f>
        <v>76724</v>
      </c>
      <c r="I19" s="22">
        <f t="shared" si="0"/>
        <v>23276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791</v>
      </c>
      <c r="C20" s="28" t="s">
        <v>41</v>
      </c>
      <c r="D20" s="29" t="s">
        <v>792</v>
      </c>
      <c r="E20" s="40" t="s">
        <v>122</v>
      </c>
      <c r="F20" s="22">
        <v>10000</v>
      </c>
      <c r="G20" s="22">
        <v>40000</v>
      </c>
      <c r="H20" s="23">
        <v>43720</v>
      </c>
      <c r="I20" s="22">
        <f>G20-H20</f>
        <v>-3720</v>
      </c>
      <c r="J20" s="22" t="s">
        <v>24</v>
      </c>
      <c r="K20" s="24"/>
      <c r="L20" s="25"/>
    </row>
    <row r="21" spans="1:12" ht="15.75" x14ac:dyDescent="0.25">
      <c r="A21" s="20" t="s">
        <v>20</v>
      </c>
      <c r="B21" s="21" t="s">
        <v>1139</v>
      </c>
      <c r="C21" s="28" t="s">
        <v>1140</v>
      </c>
      <c r="D21" s="29" t="s">
        <v>42</v>
      </c>
      <c r="E21" s="40" t="s">
        <v>1141</v>
      </c>
      <c r="F21" s="22">
        <v>2500</v>
      </c>
      <c r="G21" s="22">
        <v>12000</v>
      </c>
      <c r="H21" s="23">
        <v>2500</v>
      </c>
      <c r="I21" s="22">
        <f>G21-H21</f>
        <v>9500</v>
      </c>
      <c r="J21" s="22" t="s">
        <v>16</v>
      </c>
      <c r="K21" s="24"/>
      <c r="L21" s="25"/>
    </row>
    <row r="22" spans="1:12" ht="15.75" x14ac:dyDescent="0.25">
      <c r="A22" s="20" t="s">
        <v>17</v>
      </c>
      <c r="B22" s="21" t="s">
        <v>1134</v>
      </c>
      <c r="C22" s="28" t="s">
        <v>1135</v>
      </c>
      <c r="D22" s="29" t="s">
        <v>77</v>
      </c>
      <c r="E22" s="40" t="s">
        <v>1136</v>
      </c>
      <c r="F22" s="22">
        <f>4100+195</f>
        <v>4295</v>
      </c>
      <c r="G22" s="42">
        <v>6000</v>
      </c>
      <c r="H22" s="23">
        <f>1850+4295</f>
        <v>6145</v>
      </c>
      <c r="I22" s="22">
        <f t="shared" ref="I22" si="2">G22-H22</f>
        <v>-145</v>
      </c>
      <c r="J22" s="22" t="s">
        <v>24</v>
      </c>
      <c r="K22" s="24"/>
      <c r="L22" s="25"/>
    </row>
    <row r="23" spans="1:12" ht="15.75" x14ac:dyDescent="0.25">
      <c r="A23" s="20" t="s">
        <v>82</v>
      </c>
      <c r="B23" s="21" t="s">
        <v>1024</v>
      </c>
      <c r="C23" s="28" t="s">
        <v>15</v>
      </c>
      <c r="D23" s="29" t="s">
        <v>91</v>
      </c>
      <c r="E23" s="40" t="s">
        <v>81</v>
      </c>
      <c r="F23" s="22">
        <v>175</v>
      </c>
      <c r="G23" s="22">
        <v>2000</v>
      </c>
      <c r="H23" s="23">
        <v>175</v>
      </c>
      <c r="I23" s="22">
        <f>G23-H23</f>
        <v>1825</v>
      </c>
      <c r="J23" s="22" t="s">
        <v>16</v>
      </c>
      <c r="K23" s="24"/>
      <c r="L23" s="25"/>
    </row>
    <row r="24" spans="1:12" ht="15.75" x14ac:dyDescent="0.25">
      <c r="A24" s="20" t="s">
        <v>963</v>
      </c>
      <c r="B24" s="21" t="s">
        <v>971</v>
      </c>
      <c r="C24" s="28" t="s">
        <v>15</v>
      </c>
      <c r="D24" s="29" t="s">
        <v>1138</v>
      </c>
      <c r="E24" s="40" t="s">
        <v>966</v>
      </c>
      <c r="F24" s="22">
        <v>68</v>
      </c>
      <c r="G24" s="22">
        <v>1000</v>
      </c>
      <c r="H24" s="23">
        <v>368</v>
      </c>
      <c r="I24" s="22">
        <f>G24-H24</f>
        <v>632</v>
      </c>
      <c r="J24" s="22" t="s">
        <v>16</v>
      </c>
      <c r="K24" s="24"/>
      <c r="L24" s="25"/>
    </row>
    <row r="25" spans="1:12" ht="15.75" x14ac:dyDescent="0.25">
      <c r="A25" s="20" t="s">
        <v>228</v>
      </c>
      <c r="B25" s="21" t="s">
        <v>734</v>
      </c>
      <c r="C25" s="28" t="s">
        <v>15</v>
      </c>
      <c r="D25" s="29" t="s">
        <v>1099</v>
      </c>
      <c r="E25" s="40" t="s">
        <v>940</v>
      </c>
      <c r="F25" s="22">
        <v>60000</v>
      </c>
      <c r="G25" s="22">
        <v>1000000</v>
      </c>
      <c r="H25" s="23">
        <v>60000</v>
      </c>
      <c r="I25" s="22">
        <f>G25-H25</f>
        <v>940000</v>
      </c>
      <c r="J25" s="22" t="s">
        <v>16</v>
      </c>
      <c r="K25" s="24"/>
      <c r="L25" s="25"/>
    </row>
    <row r="26" spans="1:12" ht="15.75" x14ac:dyDescent="0.25">
      <c r="A26" s="20" t="s">
        <v>30</v>
      </c>
      <c r="B26" s="21" t="s">
        <v>1115</v>
      </c>
      <c r="C26" s="28" t="s">
        <v>36</v>
      </c>
      <c r="D26" s="29" t="s">
        <v>37</v>
      </c>
      <c r="E26" s="40" t="s">
        <v>313</v>
      </c>
      <c r="F26" s="22">
        <v>7700</v>
      </c>
      <c r="G26" s="42">
        <v>21000</v>
      </c>
      <c r="H26" s="23">
        <f>14000+7700</f>
        <v>21700</v>
      </c>
      <c r="I26" s="22">
        <f t="shared" ref="I26" si="3">G26-H26</f>
        <v>-700</v>
      </c>
      <c r="J26" s="22" t="s">
        <v>24</v>
      </c>
      <c r="K26" s="24"/>
      <c r="L26" s="25"/>
    </row>
    <row r="27" spans="1:12" ht="15.75" x14ac:dyDescent="0.25">
      <c r="A27" s="20" t="s">
        <v>82</v>
      </c>
      <c r="B27" s="21" t="s">
        <v>1118</v>
      </c>
      <c r="C27" s="28" t="s">
        <v>15</v>
      </c>
      <c r="D27" s="29" t="s">
        <v>1119</v>
      </c>
      <c r="E27" s="40" t="s">
        <v>1120</v>
      </c>
      <c r="F27" s="22">
        <v>26</v>
      </c>
      <c r="G27" s="42">
        <v>200</v>
      </c>
      <c r="H27" s="23">
        <f>108+26</f>
        <v>134</v>
      </c>
      <c r="I27" s="22">
        <f>G27-H27</f>
        <v>66</v>
      </c>
      <c r="J27" s="22" t="s">
        <v>16</v>
      </c>
      <c r="K27" s="24"/>
      <c r="L27" s="25"/>
    </row>
    <row r="28" spans="1:12" ht="15.75" x14ac:dyDescent="0.25">
      <c r="A28" s="20" t="s">
        <v>44</v>
      </c>
      <c r="B28" s="21" t="s">
        <v>1142</v>
      </c>
      <c r="C28" s="28" t="s">
        <v>15</v>
      </c>
      <c r="D28" s="29" t="s">
        <v>47</v>
      </c>
      <c r="E28" s="40" t="s">
        <v>1143</v>
      </c>
      <c r="F28" s="22">
        <v>16200</v>
      </c>
      <c r="G28" s="42">
        <v>15000</v>
      </c>
      <c r="H28" s="23">
        <v>16200</v>
      </c>
      <c r="I28" s="22">
        <f>G28-H28</f>
        <v>-1200</v>
      </c>
      <c r="J28" s="22" t="s">
        <v>24</v>
      </c>
      <c r="K28" s="24"/>
      <c r="L28" s="25"/>
    </row>
    <row r="29" spans="1:12" ht="15.75" x14ac:dyDescent="0.25">
      <c r="A29" s="20" t="s">
        <v>44</v>
      </c>
      <c r="B29" s="21" t="s">
        <v>444</v>
      </c>
      <c r="C29" s="28" t="s">
        <v>15</v>
      </c>
      <c r="D29" s="29" t="s">
        <v>47</v>
      </c>
      <c r="E29" s="40" t="s">
        <v>45</v>
      </c>
      <c r="F29" s="22">
        <v>14000</v>
      </c>
      <c r="G29" s="42">
        <v>500000</v>
      </c>
      <c r="H29" s="23">
        <f>591000+27000+14000</f>
        <v>632000</v>
      </c>
      <c r="I29" s="22">
        <f t="shared" si="0"/>
        <v>-132000</v>
      </c>
      <c r="J29" s="22" t="s">
        <v>24</v>
      </c>
      <c r="K29" s="24"/>
      <c r="L29" s="25"/>
    </row>
    <row r="30" spans="1:12" ht="16.5" thickBot="1" x14ac:dyDescent="0.3">
      <c r="A30" s="30"/>
      <c r="B30" s="31"/>
      <c r="C30" s="32"/>
      <c r="D30" s="33"/>
      <c r="E30" s="41"/>
      <c r="F30" s="34"/>
      <c r="G30" s="34"/>
      <c r="H30" s="35"/>
      <c r="I30" s="34"/>
      <c r="J30" s="34" t="s">
        <v>64</v>
      </c>
      <c r="K30" s="36"/>
      <c r="L30" s="37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L24"/>
  <sheetViews>
    <sheetView workbookViewId="0">
      <pane xSplit="3" topLeftCell="D1" activePane="topRight" state="frozen"/>
      <selection pane="topRight" activeCell="A7" sqref="A7:XFD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231</v>
      </c>
      <c r="B4" s="15" t="s">
        <v>1148</v>
      </c>
      <c r="C4" s="26" t="s">
        <v>1149</v>
      </c>
      <c r="D4" s="27" t="s">
        <v>283</v>
      </c>
      <c r="E4" s="39" t="s">
        <v>1150</v>
      </c>
      <c r="F4" s="16">
        <v>511.7</v>
      </c>
      <c r="G4" s="16">
        <v>1000</v>
      </c>
      <c r="H4" s="17">
        <v>511.7</v>
      </c>
      <c r="I4" s="16">
        <f t="shared" ref="I4:I23" si="0">G4-H4</f>
        <v>488.3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1147</v>
      </c>
      <c r="C5" s="28" t="s">
        <v>529</v>
      </c>
      <c r="D5" s="29" t="s">
        <v>1011</v>
      </c>
      <c r="E5" s="40" t="s">
        <v>351</v>
      </c>
      <c r="F5" s="22">
        <f>336+58.8</f>
        <v>394.8</v>
      </c>
      <c r="G5" s="42">
        <v>500</v>
      </c>
      <c r="H5" s="23">
        <v>394.8</v>
      </c>
      <c r="I5" s="22">
        <f t="shared" si="0"/>
        <v>105.19999999999999</v>
      </c>
      <c r="J5" s="22" t="s">
        <v>16</v>
      </c>
      <c r="K5" s="24"/>
      <c r="L5" s="25"/>
    </row>
    <row r="6" spans="1:12" ht="15.75" x14ac:dyDescent="0.25">
      <c r="A6" s="20" t="s">
        <v>44</v>
      </c>
      <c r="B6" s="21" t="s">
        <v>444</v>
      </c>
      <c r="C6" s="28" t="s">
        <v>15</v>
      </c>
      <c r="D6" s="29" t="s">
        <v>47</v>
      </c>
      <c r="E6" s="40" t="s">
        <v>45</v>
      </c>
      <c r="F6" s="22">
        <v>10000</v>
      </c>
      <c r="G6" s="42">
        <v>500000</v>
      </c>
      <c r="H6" s="23">
        <f>591000+27000+9000+10000</f>
        <v>637000</v>
      </c>
      <c r="I6" s="22">
        <f t="shared" si="0"/>
        <v>-137000</v>
      </c>
      <c r="J6" s="22" t="s">
        <v>24</v>
      </c>
      <c r="K6" s="24"/>
      <c r="L6" s="25"/>
    </row>
    <row r="7" spans="1:12" ht="15.75" x14ac:dyDescent="0.25">
      <c r="A7" s="20" t="s">
        <v>17</v>
      </c>
      <c r="B7" s="21" t="s">
        <v>1044</v>
      </c>
      <c r="C7" s="28" t="s">
        <v>950</v>
      </c>
      <c r="D7" s="29" t="s">
        <v>364</v>
      </c>
      <c r="E7" s="40" t="s">
        <v>951</v>
      </c>
      <c r="F7" s="22">
        <v>692</v>
      </c>
      <c r="G7" s="22">
        <v>45000</v>
      </c>
      <c r="H7" s="23">
        <f>24025+3075+150+692</f>
        <v>27942</v>
      </c>
      <c r="I7" s="22">
        <f>G7-H7</f>
        <v>17058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1137</v>
      </c>
      <c r="C8" s="28" t="s">
        <v>15</v>
      </c>
      <c r="D8" s="29" t="s">
        <v>53</v>
      </c>
      <c r="E8" s="40" t="s">
        <v>55</v>
      </c>
      <c r="F8" s="22">
        <v>9000</v>
      </c>
      <c r="G8" s="42">
        <v>50000</v>
      </c>
      <c r="H8" s="23">
        <f>10000+9000</f>
        <v>19000</v>
      </c>
      <c r="I8" s="22">
        <f t="shared" si="0"/>
        <v>31000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1021</v>
      </c>
      <c r="C9" s="28" t="s">
        <v>210</v>
      </c>
      <c r="D9" s="29" t="s">
        <v>1011</v>
      </c>
      <c r="E9" s="40" t="s">
        <v>212</v>
      </c>
      <c r="F9" s="22">
        <v>231.1</v>
      </c>
      <c r="G9" s="22">
        <v>6000</v>
      </c>
      <c r="H9" s="23">
        <f>587.7+451.3+1247.1+488.2+519.9+625.5+277.58+231.1</f>
        <v>4428.38</v>
      </c>
      <c r="I9" s="22">
        <f t="shared" si="0"/>
        <v>1571.62</v>
      </c>
      <c r="J9" s="22" t="s">
        <v>16</v>
      </c>
      <c r="K9" s="24"/>
      <c r="L9" s="25"/>
    </row>
    <row r="10" spans="1:12" ht="15.75" x14ac:dyDescent="0.25">
      <c r="A10" s="20" t="s">
        <v>228</v>
      </c>
      <c r="B10" s="21" t="s">
        <v>1089</v>
      </c>
      <c r="C10" s="28" t="s">
        <v>210</v>
      </c>
      <c r="D10" s="29" t="s">
        <v>18</v>
      </c>
      <c r="E10" s="40" t="s">
        <v>1129</v>
      </c>
      <c r="F10" s="22">
        <v>60000</v>
      </c>
      <c r="G10" s="42">
        <v>500000</v>
      </c>
      <c r="H10" s="23">
        <f>119000+60000</f>
        <v>179000</v>
      </c>
      <c r="I10" s="22">
        <f>G10-H10</f>
        <v>321000</v>
      </c>
      <c r="J10" s="22" t="s">
        <v>16</v>
      </c>
      <c r="K10" s="24"/>
      <c r="L10" s="25"/>
    </row>
    <row r="11" spans="1:12" ht="15.75" x14ac:dyDescent="0.25">
      <c r="A11" s="20" t="s">
        <v>40</v>
      </c>
      <c r="B11" s="21" t="s">
        <v>1144</v>
      </c>
      <c r="C11" s="28" t="s">
        <v>62</v>
      </c>
      <c r="D11" s="29" t="s">
        <v>54</v>
      </c>
      <c r="E11" s="40" t="s">
        <v>59</v>
      </c>
      <c r="F11" s="22">
        <v>60000</v>
      </c>
      <c r="G11" s="42">
        <v>300000</v>
      </c>
      <c r="H11" s="23">
        <f>53000+60000</f>
        <v>113000</v>
      </c>
      <c r="I11" s="22">
        <f t="shared" si="0"/>
        <v>187000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1151</v>
      </c>
      <c r="C12" s="28" t="s">
        <v>1152</v>
      </c>
      <c r="D12" s="29" t="s">
        <v>591</v>
      </c>
      <c r="E12" s="40" t="s">
        <v>1153</v>
      </c>
      <c r="F12" s="22">
        <v>6900</v>
      </c>
      <c r="G12" s="22">
        <v>6300</v>
      </c>
      <c r="H12" s="23">
        <v>6900</v>
      </c>
      <c r="I12" s="22">
        <f>G12-H12</f>
        <v>-600</v>
      </c>
      <c r="J12" s="22" t="s">
        <v>24</v>
      </c>
      <c r="K12" s="24"/>
      <c r="L12" s="25"/>
    </row>
    <row r="13" spans="1:12" ht="15.75" x14ac:dyDescent="0.25">
      <c r="A13" s="20" t="s">
        <v>22</v>
      </c>
      <c r="B13" s="21" t="s">
        <v>1145</v>
      </c>
      <c r="C13" s="28" t="s">
        <v>115</v>
      </c>
      <c r="D13" s="29" t="s">
        <v>1087</v>
      </c>
      <c r="E13" s="40" t="s">
        <v>38</v>
      </c>
      <c r="F13" s="22">
        <v>116.4</v>
      </c>
      <c r="G13" s="22">
        <v>1000</v>
      </c>
      <c r="H13" s="23">
        <f>661.7+116.4</f>
        <v>778.1</v>
      </c>
      <c r="I13" s="22">
        <f>G13-H13</f>
        <v>221.89999999999998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1050</v>
      </c>
      <c r="C14" s="28" t="s">
        <v>32</v>
      </c>
      <c r="D14" s="29" t="s">
        <v>18</v>
      </c>
      <c r="E14" s="40" t="s">
        <v>776</v>
      </c>
      <c r="F14" s="22">
        <f>500+962</f>
        <v>1462</v>
      </c>
      <c r="G14" s="22">
        <v>10000</v>
      </c>
      <c r="H14" s="23">
        <v>8261</v>
      </c>
      <c r="I14" s="22">
        <f>G14-H14</f>
        <v>1739</v>
      </c>
      <c r="J14" s="22" t="s">
        <v>23</v>
      </c>
      <c r="K14" s="24"/>
      <c r="L14" s="25"/>
    </row>
    <row r="15" spans="1:12" ht="15.75" x14ac:dyDescent="0.25">
      <c r="A15" s="20" t="s">
        <v>17</v>
      </c>
      <c r="B15" s="21" t="s">
        <v>1154</v>
      </c>
      <c r="C15" s="28" t="s">
        <v>32</v>
      </c>
      <c r="D15" s="29" t="s">
        <v>18</v>
      </c>
      <c r="E15" s="40" t="s">
        <v>33</v>
      </c>
      <c r="F15" s="22">
        <v>500</v>
      </c>
      <c r="G15" s="42">
        <v>5000</v>
      </c>
      <c r="H15" s="23">
        <v>500</v>
      </c>
      <c r="I15" s="22">
        <f>G15-H15</f>
        <v>4500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1130</v>
      </c>
      <c r="C16" s="28" t="s">
        <v>1131</v>
      </c>
      <c r="D16" s="29" t="s">
        <v>27</v>
      </c>
      <c r="E16" s="40" t="s">
        <v>1132</v>
      </c>
      <c r="F16" s="22">
        <v>12770</v>
      </c>
      <c r="G16" s="22">
        <v>50000</v>
      </c>
      <c r="H16" s="23">
        <f>18900+6000+12770</f>
        <v>37670</v>
      </c>
      <c r="I16" s="22">
        <f t="shared" ref="I16" si="1">G16-H16</f>
        <v>12330</v>
      </c>
      <c r="J16" s="22" t="s">
        <v>16</v>
      </c>
      <c r="K16" s="24"/>
      <c r="L16" s="25"/>
    </row>
    <row r="17" spans="1:12" ht="15.75" x14ac:dyDescent="0.25">
      <c r="A17" s="20" t="s">
        <v>231</v>
      </c>
      <c r="B17" s="21" t="s">
        <v>1157</v>
      </c>
      <c r="C17" s="28" t="s">
        <v>679</v>
      </c>
      <c r="D17" s="29" t="s">
        <v>283</v>
      </c>
      <c r="E17" s="40" t="s">
        <v>1158</v>
      </c>
      <c r="F17" s="22">
        <v>501.85</v>
      </c>
      <c r="G17" s="42">
        <v>500</v>
      </c>
      <c r="H17" s="23">
        <v>501.85</v>
      </c>
      <c r="I17" s="22">
        <f t="shared" si="0"/>
        <v>-1.8500000000000227</v>
      </c>
      <c r="J17" s="22" t="s">
        <v>23</v>
      </c>
      <c r="K17" s="24"/>
      <c r="L17" s="25"/>
    </row>
    <row r="18" spans="1:12" ht="15.75" x14ac:dyDescent="0.25">
      <c r="A18" s="20" t="s">
        <v>14</v>
      </c>
      <c r="B18" s="21" t="s">
        <v>1159</v>
      </c>
      <c r="C18" s="28" t="s">
        <v>1160</v>
      </c>
      <c r="D18" s="29" t="s">
        <v>42</v>
      </c>
      <c r="E18" s="40" t="s">
        <v>365</v>
      </c>
      <c r="F18" s="22">
        <v>5100</v>
      </c>
      <c r="G18" s="22">
        <v>5000</v>
      </c>
      <c r="H18" s="23">
        <v>5100</v>
      </c>
      <c r="I18" s="22">
        <f t="shared" si="0"/>
        <v>-100</v>
      </c>
      <c r="J18" s="22" t="s">
        <v>24</v>
      </c>
      <c r="K18" s="24"/>
      <c r="L18" s="25"/>
    </row>
    <row r="19" spans="1:12" ht="15.75" x14ac:dyDescent="0.25">
      <c r="A19" s="20" t="s">
        <v>20</v>
      </c>
      <c r="B19" s="21" t="s">
        <v>1139</v>
      </c>
      <c r="C19" s="28" t="s">
        <v>1140</v>
      </c>
      <c r="D19" s="29" t="s">
        <v>42</v>
      </c>
      <c r="E19" s="40" t="s">
        <v>1141</v>
      </c>
      <c r="F19" s="22">
        <v>7500</v>
      </c>
      <c r="G19" s="22">
        <v>12000</v>
      </c>
      <c r="H19" s="23">
        <f>2500+7500</f>
        <v>10000</v>
      </c>
      <c r="I19" s="22">
        <f>G19-H19</f>
        <v>2000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1155</v>
      </c>
      <c r="C20" s="28" t="s">
        <v>34</v>
      </c>
      <c r="D20" s="29" t="s">
        <v>18</v>
      </c>
      <c r="E20" s="40" t="s">
        <v>1156</v>
      </c>
      <c r="F20" s="22">
        <v>48000</v>
      </c>
      <c r="G20" s="42">
        <v>100000</v>
      </c>
      <c r="H20" s="23">
        <v>48000</v>
      </c>
      <c r="I20" s="22">
        <f t="shared" ref="I20" si="2">G20-H20</f>
        <v>52000</v>
      </c>
      <c r="J20" s="22" t="s">
        <v>16</v>
      </c>
      <c r="K20" s="24"/>
      <c r="L20" s="25"/>
    </row>
    <row r="21" spans="1:12" ht="15.75" x14ac:dyDescent="0.25">
      <c r="A21" s="20" t="s">
        <v>82</v>
      </c>
      <c r="B21" s="21" t="s">
        <v>1024</v>
      </c>
      <c r="C21" s="28" t="s">
        <v>15</v>
      </c>
      <c r="D21" s="29" t="s">
        <v>91</v>
      </c>
      <c r="E21" s="40" t="s">
        <v>81</v>
      </c>
      <c r="F21" s="22">
        <v>235</v>
      </c>
      <c r="G21" s="22">
        <v>2000</v>
      </c>
      <c r="H21" s="23">
        <f>1455</f>
        <v>1455</v>
      </c>
      <c r="I21" s="22">
        <f>G21-H21</f>
        <v>545</v>
      </c>
      <c r="J21" s="22" t="s">
        <v>16</v>
      </c>
      <c r="K21" s="24"/>
      <c r="L21" s="25"/>
    </row>
    <row r="22" spans="1:12" ht="15.75" x14ac:dyDescent="0.25">
      <c r="A22" s="20" t="s">
        <v>963</v>
      </c>
      <c r="B22" s="21" t="s">
        <v>971</v>
      </c>
      <c r="C22" s="28" t="s">
        <v>15</v>
      </c>
      <c r="D22" s="29" t="s">
        <v>1138</v>
      </c>
      <c r="E22" s="40" t="s">
        <v>966</v>
      </c>
      <c r="F22" s="22">
        <v>90</v>
      </c>
      <c r="G22" s="22">
        <v>1000</v>
      </c>
      <c r="H22" s="23">
        <f>368+90</f>
        <v>458</v>
      </c>
      <c r="I22" s="22">
        <f>G22-H22</f>
        <v>542</v>
      </c>
      <c r="J22" s="22" t="s">
        <v>16</v>
      </c>
      <c r="K22" s="24"/>
      <c r="L22" s="25"/>
    </row>
    <row r="23" spans="1:12" ht="15.75" x14ac:dyDescent="0.25">
      <c r="A23" s="20" t="s">
        <v>44</v>
      </c>
      <c r="B23" s="21" t="s">
        <v>444</v>
      </c>
      <c r="C23" s="28" t="s">
        <v>15</v>
      </c>
      <c r="D23" s="29" t="s">
        <v>47</v>
      </c>
      <c r="E23" s="40" t="s">
        <v>45</v>
      </c>
      <c r="F23" s="22">
        <v>10000</v>
      </c>
      <c r="G23" s="42">
        <v>500000</v>
      </c>
      <c r="H23" s="23">
        <f>591000+27000+14000+10000</f>
        <v>642000</v>
      </c>
      <c r="I23" s="22">
        <f t="shared" si="0"/>
        <v>-142000</v>
      </c>
      <c r="J23" s="22" t="s">
        <v>24</v>
      </c>
      <c r="K23" s="24"/>
      <c r="L23" s="25"/>
    </row>
    <row r="24" spans="1:12" ht="16.5" thickBot="1" x14ac:dyDescent="0.3">
      <c r="A24" s="30"/>
      <c r="B24" s="31"/>
      <c r="C24" s="32"/>
      <c r="D24" s="33"/>
      <c r="E24" s="41"/>
      <c r="F24" s="34"/>
      <c r="G24" s="34"/>
      <c r="H24" s="35"/>
      <c r="I24" s="34"/>
      <c r="J24" s="34" t="s">
        <v>64</v>
      </c>
      <c r="K24" s="36"/>
      <c r="L24" s="37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L46"/>
  <sheetViews>
    <sheetView workbookViewId="0">
      <pane xSplit="3" topLeftCell="D1" activePane="topRight" state="frozen"/>
      <selection pane="topRight" activeCell="A20" sqref="A20:XFD20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231</v>
      </c>
      <c r="B4" s="15" t="s">
        <v>1148</v>
      </c>
      <c r="C4" s="26" t="s">
        <v>1161</v>
      </c>
      <c r="D4" s="27" t="s">
        <v>283</v>
      </c>
      <c r="E4" s="39" t="s">
        <v>1150</v>
      </c>
      <c r="F4" s="16">
        <v>485.75</v>
      </c>
      <c r="G4" s="16">
        <v>1000</v>
      </c>
      <c r="H4" s="17">
        <f>511.7+485.75</f>
        <v>997.45</v>
      </c>
      <c r="I4" s="16">
        <f t="shared" ref="I4:I20" si="0">G4-H4</f>
        <v>2.5499999999999545</v>
      </c>
      <c r="J4" s="16" t="s">
        <v>23</v>
      </c>
      <c r="K4" s="18"/>
      <c r="L4" s="19"/>
    </row>
    <row r="5" spans="1:12" ht="15.75" x14ac:dyDescent="0.25">
      <c r="A5" s="20" t="s">
        <v>19</v>
      </c>
      <c r="B5" s="21" t="s">
        <v>1162</v>
      </c>
      <c r="C5" s="28" t="s">
        <v>29</v>
      </c>
      <c r="D5" s="29" t="s">
        <v>18</v>
      </c>
      <c r="E5" s="40" t="s">
        <v>517</v>
      </c>
      <c r="F5" s="22">
        <v>16000</v>
      </c>
      <c r="G5" s="42">
        <v>70000</v>
      </c>
      <c r="H5" s="23">
        <v>16000</v>
      </c>
      <c r="I5" s="22">
        <f t="shared" si="0"/>
        <v>54000</v>
      </c>
      <c r="J5" s="22" t="s">
        <v>16</v>
      </c>
      <c r="K5" s="24"/>
      <c r="L5" s="25"/>
    </row>
    <row r="6" spans="1:12" ht="15.75" x14ac:dyDescent="0.25">
      <c r="A6" s="20" t="s">
        <v>28</v>
      </c>
      <c r="B6" s="21" t="s">
        <v>1163</v>
      </c>
      <c r="C6" s="28" t="s">
        <v>15</v>
      </c>
      <c r="D6" s="29" t="s">
        <v>1164</v>
      </c>
      <c r="E6" s="40" t="s">
        <v>466</v>
      </c>
      <c r="F6" s="22">
        <v>96000</v>
      </c>
      <c r="G6" s="42">
        <v>300000</v>
      </c>
      <c r="H6" s="23">
        <v>96000</v>
      </c>
      <c r="I6" s="22">
        <f t="shared" si="0"/>
        <v>204000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1165</v>
      </c>
      <c r="C7" s="28" t="s">
        <v>70</v>
      </c>
      <c r="D7" s="29" t="s">
        <v>71</v>
      </c>
      <c r="E7" s="40" t="s">
        <v>222</v>
      </c>
      <c r="F7" s="22">
        <f>8000+16000</f>
        <v>24000</v>
      </c>
      <c r="G7" s="22">
        <v>100000</v>
      </c>
      <c r="H7" s="23">
        <v>24000</v>
      </c>
      <c r="I7" s="22">
        <f>G7-H7</f>
        <v>76000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1137</v>
      </c>
      <c r="C8" s="28" t="s">
        <v>15</v>
      </c>
      <c r="D8" s="29" t="s">
        <v>53</v>
      </c>
      <c r="E8" s="40" t="s">
        <v>55</v>
      </c>
      <c r="F8" s="22">
        <v>10150</v>
      </c>
      <c r="G8" s="42">
        <v>50000</v>
      </c>
      <c r="H8" s="23">
        <f>10000+9000+10150</f>
        <v>29150</v>
      </c>
      <c r="I8" s="22">
        <f t="shared" si="0"/>
        <v>20850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1021</v>
      </c>
      <c r="C9" s="28" t="s">
        <v>210</v>
      </c>
      <c r="D9" s="29" t="s">
        <v>1011</v>
      </c>
      <c r="E9" s="40" t="s">
        <v>212</v>
      </c>
      <c r="F9" s="22">
        <v>1193.8</v>
      </c>
      <c r="G9" s="22">
        <v>6000</v>
      </c>
      <c r="H9" s="23">
        <f>587.7+451.3+1247.1+488.2+519.9+625.5+277.58+231.1+1193.8</f>
        <v>5622.18</v>
      </c>
      <c r="I9" s="22">
        <f t="shared" si="0"/>
        <v>377.81999999999971</v>
      </c>
      <c r="J9" s="22" t="s">
        <v>16</v>
      </c>
      <c r="K9" s="24"/>
      <c r="L9" s="25"/>
    </row>
    <row r="10" spans="1:12" ht="15.75" x14ac:dyDescent="0.25">
      <c r="A10" s="20" t="s">
        <v>228</v>
      </c>
      <c r="B10" s="21" t="s">
        <v>1089</v>
      </c>
      <c r="C10" s="28" t="s">
        <v>210</v>
      </c>
      <c r="D10" s="29" t="s">
        <v>18</v>
      </c>
      <c r="E10" s="40" t="s">
        <v>1129</v>
      </c>
      <c r="F10" s="22">
        <v>33000</v>
      </c>
      <c r="G10" s="42">
        <v>500000</v>
      </c>
      <c r="H10" s="23">
        <f>119000+60000+33000</f>
        <v>212000</v>
      </c>
      <c r="I10" s="22">
        <f>G10-H10</f>
        <v>288000</v>
      </c>
      <c r="J10" s="22" t="s">
        <v>16</v>
      </c>
      <c r="K10" s="24"/>
      <c r="L10" s="25"/>
    </row>
    <row r="11" spans="1:12" ht="15.75" x14ac:dyDescent="0.25">
      <c r="A11" s="20" t="s">
        <v>40</v>
      </c>
      <c r="B11" s="21" t="s">
        <v>1144</v>
      </c>
      <c r="C11" s="28" t="s">
        <v>62</v>
      </c>
      <c r="D11" s="29" t="s">
        <v>54</v>
      </c>
      <c r="E11" s="40" t="s">
        <v>59</v>
      </c>
      <c r="F11" s="22">
        <v>12000</v>
      </c>
      <c r="G11" s="42">
        <v>300000</v>
      </c>
      <c r="H11" s="23">
        <f>53000+60000+12000</f>
        <v>125000</v>
      </c>
      <c r="I11" s="22">
        <f t="shared" si="0"/>
        <v>175000</v>
      </c>
      <c r="J11" s="22" t="s">
        <v>16</v>
      </c>
      <c r="K11" s="24"/>
      <c r="L11" s="25"/>
    </row>
    <row r="12" spans="1:12" ht="15.75" x14ac:dyDescent="0.25">
      <c r="A12" s="20" t="s">
        <v>17</v>
      </c>
      <c r="B12" s="21" t="s">
        <v>1154</v>
      </c>
      <c r="C12" s="28" t="s">
        <v>32</v>
      </c>
      <c r="D12" s="29" t="s">
        <v>18</v>
      </c>
      <c r="E12" s="40" t="s">
        <v>33</v>
      </c>
      <c r="F12" s="22">
        <v>315</v>
      </c>
      <c r="G12" s="42">
        <v>5000</v>
      </c>
      <c r="H12" s="23">
        <f>500+315</f>
        <v>815</v>
      </c>
      <c r="I12" s="22">
        <f>G12-H12</f>
        <v>4185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1170</v>
      </c>
      <c r="C13" s="28" t="s">
        <v>196</v>
      </c>
      <c r="D13" s="29" t="s">
        <v>18</v>
      </c>
      <c r="E13" s="40" t="s">
        <v>315</v>
      </c>
      <c r="F13" s="22">
        <v>2000</v>
      </c>
      <c r="G13" s="22">
        <v>5000</v>
      </c>
      <c r="H13" s="23">
        <v>2000</v>
      </c>
      <c r="I13" s="22">
        <f t="shared" ref="I13" si="1">G13-H13</f>
        <v>3000</v>
      </c>
      <c r="J13" s="22" t="s">
        <v>16</v>
      </c>
      <c r="K13" s="24"/>
      <c r="L13" s="25"/>
    </row>
    <row r="14" spans="1:12" ht="15.75" x14ac:dyDescent="0.25">
      <c r="A14" s="20" t="s">
        <v>14</v>
      </c>
      <c r="B14" s="21" t="s">
        <v>1169</v>
      </c>
      <c r="C14" s="28" t="s">
        <v>15</v>
      </c>
      <c r="D14" s="29" t="s">
        <v>522</v>
      </c>
      <c r="E14" s="40" t="s">
        <v>523</v>
      </c>
      <c r="F14" s="22">
        <v>8000</v>
      </c>
      <c r="G14" s="42">
        <v>10000</v>
      </c>
      <c r="H14" s="23">
        <v>8000</v>
      </c>
      <c r="I14" s="22">
        <f t="shared" si="0"/>
        <v>2000</v>
      </c>
      <c r="J14" s="22" t="s">
        <v>16</v>
      </c>
      <c r="K14" s="24"/>
      <c r="L14" s="25"/>
    </row>
    <row r="15" spans="1:12" ht="15.75" x14ac:dyDescent="0.25">
      <c r="A15" s="20" t="s">
        <v>30</v>
      </c>
      <c r="B15" s="21" t="s">
        <v>1089</v>
      </c>
      <c r="C15" s="28" t="s">
        <v>422</v>
      </c>
      <c r="D15" s="29" t="s">
        <v>27</v>
      </c>
      <c r="E15" s="40" t="s">
        <v>49</v>
      </c>
      <c r="F15" s="22">
        <v>28000</v>
      </c>
      <c r="G15" s="22">
        <v>270000</v>
      </c>
      <c r="H15" s="23">
        <v>194000</v>
      </c>
      <c r="I15" s="22">
        <f t="shared" si="0"/>
        <v>76000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1038</v>
      </c>
      <c r="C16" s="28" t="s">
        <v>34</v>
      </c>
      <c r="D16" s="29" t="s">
        <v>18</v>
      </c>
      <c r="E16" s="40" t="s">
        <v>1039</v>
      </c>
      <c r="F16" s="22">
        <v>10500</v>
      </c>
      <c r="G16" s="22">
        <v>100000</v>
      </c>
      <c r="H16" s="23">
        <v>87234</v>
      </c>
      <c r="I16" s="22">
        <f>G16-H16</f>
        <v>12766</v>
      </c>
      <c r="J16" s="22" t="s">
        <v>16</v>
      </c>
      <c r="K16" s="24"/>
      <c r="L16" s="25"/>
    </row>
    <row r="17" spans="1:12" ht="15.75" x14ac:dyDescent="0.25">
      <c r="A17" s="20" t="s">
        <v>21</v>
      </c>
      <c r="B17" s="21" t="s">
        <v>1155</v>
      </c>
      <c r="C17" s="28" t="s">
        <v>34</v>
      </c>
      <c r="D17" s="29" t="s">
        <v>18</v>
      </c>
      <c r="E17" s="40" t="s">
        <v>1156</v>
      </c>
      <c r="F17" s="22">
        <v>49000</v>
      </c>
      <c r="G17" s="42">
        <v>100000</v>
      </c>
      <c r="H17" s="23">
        <f>48000+49000</f>
        <v>97000</v>
      </c>
      <c r="I17" s="22">
        <f t="shared" ref="I17" si="2">G17-H17</f>
        <v>3000</v>
      </c>
      <c r="J17" s="22" t="s">
        <v>16</v>
      </c>
      <c r="K17" s="24"/>
      <c r="L17" s="25"/>
    </row>
    <row r="18" spans="1:12" ht="15.75" x14ac:dyDescent="0.25">
      <c r="A18" s="20" t="s">
        <v>14</v>
      </c>
      <c r="B18" s="21" t="s">
        <v>1167</v>
      </c>
      <c r="C18" s="28" t="s">
        <v>655</v>
      </c>
      <c r="D18" s="29" t="s">
        <v>18</v>
      </c>
      <c r="E18" s="40" t="s">
        <v>1168</v>
      </c>
      <c r="F18" s="22">
        <v>1280</v>
      </c>
      <c r="G18" s="22">
        <v>10000</v>
      </c>
      <c r="H18" s="23">
        <v>1280</v>
      </c>
      <c r="I18" s="22">
        <f>G18-H18</f>
        <v>8720</v>
      </c>
      <c r="J18" s="22" t="s">
        <v>16</v>
      </c>
      <c r="K18" s="24"/>
      <c r="L18" s="25"/>
    </row>
    <row r="19" spans="1:12" ht="15.75" x14ac:dyDescent="0.25">
      <c r="A19" s="20" t="s">
        <v>963</v>
      </c>
      <c r="B19" s="21" t="s">
        <v>971</v>
      </c>
      <c r="C19" s="28" t="s">
        <v>15</v>
      </c>
      <c r="D19" s="29" t="s">
        <v>18</v>
      </c>
      <c r="E19" s="40" t="s">
        <v>424</v>
      </c>
      <c r="F19" s="22">
        <v>32000</v>
      </c>
      <c r="G19" s="22">
        <v>62800</v>
      </c>
      <c r="H19" s="23">
        <v>32000</v>
      </c>
      <c r="I19" s="22">
        <f>G19-H19</f>
        <v>30800</v>
      </c>
      <c r="J19" s="22" t="s">
        <v>16</v>
      </c>
      <c r="K19" s="24"/>
      <c r="L19" s="25"/>
    </row>
    <row r="20" spans="1:12" ht="15.75" x14ac:dyDescent="0.25">
      <c r="A20" s="20" t="s">
        <v>17</v>
      </c>
      <c r="B20" s="21" t="s">
        <v>1089</v>
      </c>
      <c r="C20" s="28" t="s">
        <v>1166</v>
      </c>
      <c r="D20" s="29" t="s">
        <v>1171</v>
      </c>
      <c r="E20" s="40" t="s">
        <v>1172</v>
      </c>
      <c r="F20" s="22">
        <v>1500</v>
      </c>
      <c r="G20" s="42">
        <v>10000</v>
      </c>
      <c r="H20" s="23">
        <v>1500</v>
      </c>
      <c r="I20" s="22">
        <f t="shared" si="0"/>
        <v>8500</v>
      </c>
      <c r="J20" s="22" t="s">
        <v>16</v>
      </c>
      <c r="K20" s="24"/>
      <c r="L20" s="25"/>
    </row>
    <row r="21" spans="1:12" ht="16.5" thickBot="1" x14ac:dyDescent="0.3">
      <c r="A21" s="30"/>
      <c r="B21" s="31"/>
      <c r="C21" s="32"/>
      <c r="D21" s="33"/>
      <c r="E21" s="41"/>
      <c r="F21" s="34"/>
      <c r="G21" s="34"/>
      <c r="H21" s="35"/>
      <c r="I21" s="34"/>
      <c r="J21" s="34" t="s">
        <v>64</v>
      </c>
      <c r="K21" s="36"/>
      <c r="L21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L32"/>
  <sheetViews>
    <sheetView workbookViewId="0">
      <pane xSplit="3" topLeftCell="F1" activePane="topRight" state="frozen"/>
      <selection pane="topRight" activeCell="J20" sqref="J20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947</v>
      </c>
      <c r="C4" s="26" t="s">
        <v>422</v>
      </c>
      <c r="D4" s="27" t="s">
        <v>48</v>
      </c>
      <c r="E4" s="39" t="s">
        <v>49</v>
      </c>
      <c r="F4" s="16">
        <v>24000</v>
      </c>
      <c r="G4" s="16">
        <v>270000</v>
      </c>
      <c r="H4" s="17">
        <f>194000+24000</f>
        <v>218000</v>
      </c>
      <c r="I4" s="16">
        <f t="shared" ref="I4:I30" si="0">G4-H4</f>
        <v>52000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1162</v>
      </c>
      <c r="C5" s="28" t="s">
        <v>29</v>
      </c>
      <c r="D5" s="29" t="s">
        <v>18</v>
      </c>
      <c r="E5" s="40" t="s">
        <v>517</v>
      </c>
      <c r="F5" s="22">
        <v>24000</v>
      </c>
      <c r="G5" s="42">
        <v>70000</v>
      </c>
      <c r="H5" s="23">
        <f>16000+24000</f>
        <v>40000</v>
      </c>
      <c r="I5" s="22">
        <f t="shared" si="0"/>
        <v>30000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939</v>
      </c>
      <c r="C6" s="28" t="s">
        <v>204</v>
      </c>
      <c r="D6" s="29" t="s">
        <v>1087</v>
      </c>
      <c r="E6" s="40" t="s">
        <v>206</v>
      </c>
      <c r="F6" s="22">
        <v>362.2</v>
      </c>
      <c r="G6" s="42">
        <v>3000</v>
      </c>
      <c r="H6" s="23">
        <f>173.3+229.2+271.7+326.2</f>
        <v>1000.4000000000001</v>
      </c>
      <c r="I6" s="22">
        <f t="shared" si="0"/>
        <v>1999.6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1165</v>
      </c>
      <c r="C7" s="28" t="s">
        <v>70</v>
      </c>
      <c r="D7" s="29" t="s">
        <v>71</v>
      </c>
      <c r="E7" s="40" t="s">
        <v>222</v>
      </c>
      <c r="F7" s="22">
        <v>11000</v>
      </c>
      <c r="G7" s="22">
        <v>100000</v>
      </c>
      <c r="H7" s="23">
        <f>24000+11000</f>
        <v>35000</v>
      </c>
      <c r="I7" s="22">
        <f>G7-H7</f>
        <v>65000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1137</v>
      </c>
      <c r="C8" s="28" t="s">
        <v>15</v>
      </c>
      <c r="D8" s="29" t="s">
        <v>53</v>
      </c>
      <c r="E8" s="40" t="s">
        <v>55</v>
      </c>
      <c r="F8" s="22">
        <v>2000</v>
      </c>
      <c r="G8" s="42">
        <v>50000</v>
      </c>
      <c r="H8" s="23">
        <f>10000+9000+10150+2000</f>
        <v>31150</v>
      </c>
      <c r="I8" s="22">
        <f t="shared" si="0"/>
        <v>18850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1021</v>
      </c>
      <c r="C9" s="28" t="s">
        <v>210</v>
      </c>
      <c r="D9" s="29" t="s">
        <v>1011</v>
      </c>
      <c r="E9" s="40" t="s">
        <v>212</v>
      </c>
      <c r="F9" s="22">
        <v>293.39999999999998</v>
      </c>
      <c r="G9" s="22">
        <v>6000</v>
      </c>
      <c r="H9" s="23">
        <f>587.7+451.3+1247.1+488.2+519.9+625.5+277.58+231.1+1193.8+293.4</f>
        <v>5915.58</v>
      </c>
      <c r="I9" s="22">
        <f t="shared" si="0"/>
        <v>84.420000000000073</v>
      </c>
      <c r="J9" s="22" t="s">
        <v>16</v>
      </c>
      <c r="K9" s="24"/>
      <c r="L9" s="25"/>
    </row>
    <row r="10" spans="1:12" ht="15.75" x14ac:dyDescent="0.25">
      <c r="A10" s="20" t="s">
        <v>20</v>
      </c>
      <c r="B10" s="21" t="s">
        <v>1139</v>
      </c>
      <c r="C10" s="28" t="s">
        <v>1140</v>
      </c>
      <c r="D10" s="29" t="s">
        <v>42</v>
      </c>
      <c r="E10" s="40" t="s">
        <v>1141</v>
      </c>
      <c r="F10" s="22">
        <v>2420</v>
      </c>
      <c r="G10" s="22">
        <v>12000</v>
      </c>
      <c r="H10" s="23">
        <f>2500+7500+2420</f>
        <v>12420</v>
      </c>
      <c r="I10" s="22">
        <f>G10-H10</f>
        <v>-420</v>
      </c>
      <c r="J10" s="22" t="s">
        <v>24</v>
      </c>
      <c r="K10" s="24"/>
      <c r="L10" s="25"/>
    </row>
    <row r="11" spans="1:12" ht="15.75" x14ac:dyDescent="0.25">
      <c r="A11" s="20" t="s">
        <v>228</v>
      </c>
      <c r="B11" s="21" t="s">
        <v>1089</v>
      </c>
      <c r="C11" s="28" t="s">
        <v>210</v>
      </c>
      <c r="D11" s="29" t="s">
        <v>18</v>
      </c>
      <c r="E11" s="40" t="s">
        <v>1129</v>
      </c>
      <c r="F11" s="22">
        <v>25760</v>
      </c>
      <c r="G11" s="42">
        <v>500000</v>
      </c>
      <c r="H11" s="23">
        <f>119000+60000+33000+25760</f>
        <v>237760</v>
      </c>
      <c r="I11" s="22">
        <f>G11-H11</f>
        <v>262240</v>
      </c>
      <c r="J11" s="22" t="s">
        <v>16</v>
      </c>
      <c r="K11" s="24"/>
      <c r="L11" s="25"/>
    </row>
    <row r="12" spans="1:12" ht="15.75" x14ac:dyDescent="0.25">
      <c r="A12" s="20" t="s">
        <v>40</v>
      </c>
      <c r="B12" s="21" t="s">
        <v>734</v>
      </c>
      <c r="C12" s="28" t="s">
        <v>15</v>
      </c>
      <c r="D12" s="29" t="s">
        <v>68</v>
      </c>
      <c r="E12" s="40" t="s">
        <v>69</v>
      </c>
      <c r="F12" s="22">
        <v>30000</v>
      </c>
      <c r="G12" s="42">
        <v>2000000</v>
      </c>
      <c r="H12" s="23">
        <v>30000</v>
      </c>
      <c r="I12" s="22">
        <f t="shared" si="0"/>
        <v>1970000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1154</v>
      </c>
      <c r="C13" s="28" t="s">
        <v>32</v>
      </c>
      <c r="D13" s="29" t="s">
        <v>18</v>
      </c>
      <c r="E13" s="40" t="s">
        <v>33</v>
      </c>
      <c r="F13" s="22">
        <v>1000</v>
      </c>
      <c r="G13" s="42">
        <v>5000</v>
      </c>
      <c r="H13" s="23">
        <f>500+315+1000</f>
        <v>1815</v>
      </c>
      <c r="I13" s="22">
        <f>G13-H13</f>
        <v>3185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1170</v>
      </c>
      <c r="C14" s="28" t="s">
        <v>196</v>
      </c>
      <c r="D14" s="29" t="s">
        <v>18</v>
      </c>
      <c r="E14" s="40" t="s">
        <v>315</v>
      </c>
      <c r="F14" s="22">
        <v>2386</v>
      </c>
      <c r="G14" s="22">
        <v>5000</v>
      </c>
      <c r="H14" s="23">
        <f>2000+2386</f>
        <v>4386</v>
      </c>
      <c r="I14" s="22">
        <f t="shared" ref="I14" si="1">G14-H14</f>
        <v>614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1169</v>
      </c>
      <c r="C15" s="28" t="s">
        <v>15</v>
      </c>
      <c r="D15" s="29" t="s">
        <v>522</v>
      </c>
      <c r="E15" s="40" t="s">
        <v>523</v>
      </c>
      <c r="F15" s="22">
        <v>3319</v>
      </c>
      <c r="G15" s="42">
        <v>10000</v>
      </c>
      <c r="H15" s="23">
        <f>8000+3319</f>
        <v>11319</v>
      </c>
      <c r="I15" s="22">
        <f t="shared" si="0"/>
        <v>-1319</v>
      </c>
      <c r="J15" s="22" t="s">
        <v>24</v>
      </c>
      <c r="K15" s="24"/>
      <c r="L15" s="25"/>
    </row>
    <row r="16" spans="1:12" ht="15.75" x14ac:dyDescent="0.25">
      <c r="A16" s="20" t="s">
        <v>20</v>
      </c>
      <c r="B16" s="21" t="s">
        <v>1022</v>
      </c>
      <c r="C16" s="28" t="s">
        <v>530</v>
      </c>
      <c r="D16" s="29" t="s">
        <v>42</v>
      </c>
      <c r="E16" s="40" t="s">
        <v>470</v>
      </c>
      <c r="F16" s="22">
        <v>8000</v>
      </c>
      <c r="G16" s="22">
        <v>30000</v>
      </c>
      <c r="H16" s="23">
        <v>8000</v>
      </c>
      <c r="I16" s="22">
        <f t="shared" si="0"/>
        <v>22000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1038</v>
      </c>
      <c r="C17" s="28" t="s">
        <v>34</v>
      </c>
      <c r="D17" s="29" t="s">
        <v>18</v>
      </c>
      <c r="E17" s="40" t="s">
        <v>1039</v>
      </c>
      <c r="F17" s="22">
        <v>7160</v>
      </c>
      <c r="G17" s="22">
        <v>100000</v>
      </c>
      <c r="H17" s="23">
        <f>87234+7160</f>
        <v>94394</v>
      </c>
      <c r="I17" s="22">
        <f>G17-H17</f>
        <v>5606</v>
      </c>
      <c r="J17" s="22" t="s">
        <v>16</v>
      </c>
      <c r="K17" s="24"/>
      <c r="L17" s="25"/>
    </row>
    <row r="18" spans="1:12" ht="15.75" x14ac:dyDescent="0.25">
      <c r="A18" s="20" t="s">
        <v>82</v>
      </c>
      <c r="B18" s="21" t="s">
        <v>1024</v>
      </c>
      <c r="C18" s="28" t="s">
        <v>15</v>
      </c>
      <c r="D18" s="29" t="s">
        <v>91</v>
      </c>
      <c r="E18" s="40" t="s">
        <v>81</v>
      </c>
      <c r="F18" s="22">
        <v>305</v>
      </c>
      <c r="G18" s="22">
        <v>2000</v>
      </c>
      <c r="H18" s="23">
        <f>1455+305</f>
        <v>1760</v>
      </c>
      <c r="I18" s="22">
        <f>G18-H18</f>
        <v>240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1174</v>
      </c>
      <c r="C19" s="28" t="s">
        <v>541</v>
      </c>
      <c r="D19" s="29" t="s">
        <v>1175</v>
      </c>
      <c r="E19" s="40" t="s">
        <v>543</v>
      </c>
      <c r="F19" s="22">
        <v>20000</v>
      </c>
      <c r="G19" s="42">
        <v>50000</v>
      </c>
      <c r="H19" s="23">
        <v>20000</v>
      </c>
      <c r="I19" s="22">
        <f t="shared" ref="I19" si="2">G19-H19</f>
        <v>30000</v>
      </c>
      <c r="J19" s="22" t="s">
        <v>16</v>
      </c>
      <c r="K19" s="24"/>
      <c r="L19" s="25"/>
    </row>
    <row r="20" spans="1:12" ht="15.75" x14ac:dyDescent="0.25">
      <c r="A20" s="20" t="s">
        <v>14</v>
      </c>
      <c r="B20" s="21" t="s">
        <v>1167</v>
      </c>
      <c r="C20" s="28" t="s">
        <v>655</v>
      </c>
      <c r="D20" s="29" t="s">
        <v>18</v>
      </c>
      <c r="E20" s="40" t="s">
        <v>1168</v>
      </c>
      <c r="F20" s="22">
        <v>8500</v>
      </c>
      <c r="G20" s="22">
        <v>10000</v>
      </c>
      <c r="H20" s="23">
        <f>1280+8500</f>
        <v>9780</v>
      </c>
      <c r="I20" s="22">
        <f t="shared" ref="I20:I29" si="3">G20-H20</f>
        <v>220</v>
      </c>
      <c r="J20" s="22" t="s">
        <v>31</v>
      </c>
      <c r="K20" s="24"/>
      <c r="L20" s="25"/>
    </row>
    <row r="21" spans="1:12" ht="15.75" x14ac:dyDescent="0.25">
      <c r="A21" s="20" t="s">
        <v>228</v>
      </c>
      <c r="B21" s="21" t="s">
        <v>1173</v>
      </c>
      <c r="C21" s="28" t="s">
        <v>34</v>
      </c>
      <c r="D21" s="29" t="s">
        <v>18</v>
      </c>
      <c r="E21" s="40" t="s">
        <v>193</v>
      </c>
      <c r="F21" s="22">
        <v>60000</v>
      </c>
      <c r="G21" s="22">
        <v>200000</v>
      </c>
      <c r="H21" s="23">
        <v>60000</v>
      </c>
      <c r="I21" s="22">
        <f t="shared" si="3"/>
        <v>140000</v>
      </c>
      <c r="J21" s="22" t="s">
        <v>16</v>
      </c>
      <c r="K21" s="24"/>
      <c r="L21" s="25"/>
    </row>
    <row r="22" spans="1:12" ht="15.75" x14ac:dyDescent="0.25">
      <c r="A22" s="20" t="s">
        <v>228</v>
      </c>
      <c r="B22" s="21" t="s">
        <v>1185</v>
      </c>
      <c r="C22" s="28" t="s">
        <v>36</v>
      </c>
      <c r="D22" s="29" t="s">
        <v>37</v>
      </c>
      <c r="E22" s="40" t="s">
        <v>313</v>
      </c>
      <c r="F22" s="22">
        <v>15500</v>
      </c>
      <c r="G22" s="22">
        <v>21000</v>
      </c>
      <c r="H22" s="23">
        <v>15500</v>
      </c>
      <c r="I22" s="22">
        <f t="shared" si="3"/>
        <v>5500</v>
      </c>
      <c r="J22" s="22" t="s">
        <v>16</v>
      </c>
      <c r="K22" s="24"/>
      <c r="L22" s="25"/>
    </row>
    <row r="23" spans="1:12" ht="15.75" x14ac:dyDescent="0.25">
      <c r="A23" s="20" t="s">
        <v>244</v>
      </c>
      <c r="B23" s="21" t="s">
        <v>1176</v>
      </c>
      <c r="C23" s="28" t="s">
        <v>1177</v>
      </c>
      <c r="D23" s="29" t="s">
        <v>35</v>
      </c>
      <c r="E23" s="40" t="s">
        <v>743</v>
      </c>
      <c r="F23" s="22">
        <v>107</v>
      </c>
      <c r="G23" s="22">
        <v>100</v>
      </c>
      <c r="H23" s="23">
        <v>107</v>
      </c>
      <c r="I23" s="22">
        <f t="shared" si="3"/>
        <v>-7</v>
      </c>
      <c r="J23" s="22" t="s">
        <v>23</v>
      </c>
      <c r="K23" s="24"/>
      <c r="L23" s="25"/>
    </row>
    <row r="24" spans="1:12" ht="15.75" x14ac:dyDescent="0.25">
      <c r="A24" s="20" t="s">
        <v>244</v>
      </c>
      <c r="B24" s="21" t="s">
        <v>1178</v>
      </c>
      <c r="C24" s="28" t="s">
        <v>1177</v>
      </c>
      <c r="D24" s="29" t="s">
        <v>35</v>
      </c>
      <c r="E24" s="40" t="s">
        <v>305</v>
      </c>
      <c r="F24" s="22">
        <v>55.5</v>
      </c>
      <c r="G24" s="22">
        <v>50</v>
      </c>
      <c r="H24" s="23">
        <v>55.5</v>
      </c>
      <c r="I24" s="22">
        <f t="shared" si="3"/>
        <v>-5.5</v>
      </c>
      <c r="J24" s="22" t="s">
        <v>23</v>
      </c>
      <c r="K24" s="24"/>
      <c r="L24" s="25"/>
    </row>
    <row r="25" spans="1:12" ht="15.75" x14ac:dyDescent="0.25">
      <c r="A25" s="20" t="s">
        <v>244</v>
      </c>
      <c r="B25" s="21" t="s">
        <v>1179</v>
      </c>
      <c r="C25" s="28" t="s">
        <v>1177</v>
      </c>
      <c r="D25" s="29" t="s">
        <v>35</v>
      </c>
      <c r="E25" s="40" t="s">
        <v>302</v>
      </c>
      <c r="F25" s="22">
        <v>105.6</v>
      </c>
      <c r="G25" s="22">
        <v>100</v>
      </c>
      <c r="H25" s="23">
        <v>105.6</v>
      </c>
      <c r="I25" s="22">
        <f t="shared" si="3"/>
        <v>-5.5999999999999943</v>
      </c>
      <c r="J25" s="22" t="s">
        <v>23</v>
      </c>
      <c r="K25" s="24"/>
      <c r="L25" s="25"/>
    </row>
    <row r="26" spans="1:12" ht="15.75" x14ac:dyDescent="0.25">
      <c r="A26" s="20" t="s">
        <v>244</v>
      </c>
      <c r="B26" s="21" t="s">
        <v>1180</v>
      </c>
      <c r="C26" s="28" t="s">
        <v>1177</v>
      </c>
      <c r="D26" s="29" t="s">
        <v>35</v>
      </c>
      <c r="E26" s="40" t="s">
        <v>300</v>
      </c>
      <c r="F26" s="22">
        <v>104</v>
      </c>
      <c r="G26" s="22">
        <v>100</v>
      </c>
      <c r="H26" s="23">
        <v>104</v>
      </c>
      <c r="I26" s="22">
        <f t="shared" si="3"/>
        <v>-4</v>
      </c>
      <c r="J26" s="22" t="s">
        <v>23</v>
      </c>
      <c r="K26" s="24"/>
      <c r="L26" s="25"/>
    </row>
    <row r="27" spans="1:12" ht="15.75" x14ac:dyDescent="0.25">
      <c r="A27" s="20" t="s">
        <v>244</v>
      </c>
      <c r="B27" s="21" t="s">
        <v>1181</v>
      </c>
      <c r="C27" s="28" t="s">
        <v>1177</v>
      </c>
      <c r="D27" s="29" t="s">
        <v>35</v>
      </c>
      <c r="E27" s="40" t="s">
        <v>748</v>
      </c>
      <c r="F27" s="22">
        <v>66</v>
      </c>
      <c r="G27" s="22">
        <v>50</v>
      </c>
      <c r="H27" s="23">
        <v>66</v>
      </c>
      <c r="I27" s="22">
        <f t="shared" si="3"/>
        <v>-16</v>
      </c>
      <c r="J27" s="22" t="s">
        <v>23</v>
      </c>
      <c r="K27" s="24"/>
      <c r="L27" s="25"/>
    </row>
    <row r="28" spans="1:12" ht="15.75" x14ac:dyDescent="0.25">
      <c r="A28" s="20" t="s">
        <v>244</v>
      </c>
      <c r="B28" s="21" t="s">
        <v>1182</v>
      </c>
      <c r="C28" s="28" t="s">
        <v>1177</v>
      </c>
      <c r="D28" s="29" t="s">
        <v>35</v>
      </c>
      <c r="E28" s="40" t="s">
        <v>305</v>
      </c>
      <c r="F28" s="22">
        <v>50.2</v>
      </c>
      <c r="G28" s="22">
        <v>50</v>
      </c>
      <c r="H28" s="23">
        <v>50.2</v>
      </c>
      <c r="I28" s="22">
        <f t="shared" si="3"/>
        <v>-0.20000000000000284</v>
      </c>
      <c r="J28" s="22" t="s">
        <v>23</v>
      </c>
      <c r="K28" s="24"/>
      <c r="L28" s="25"/>
    </row>
    <row r="29" spans="1:12" ht="15.75" x14ac:dyDescent="0.25">
      <c r="A29" s="20" t="s">
        <v>244</v>
      </c>
      <c r="B29" s="21" t="s">
        <v>1183</v>
      </c>
      <c r="C29" s="28" t="s">
        <v>1177</v>
      </c>
      <c r="D29" s="29" t="s">
        <v>35</v>
      </c>
      <c r="E29" s="40" t="s">
        <v>303</v>
      </c>
      <c r="F29" s="22">
        <v>64.8</v>
      </c>
      <c r="G29" s="22">
        <v>50</v>
      </c>
      <c r="H29" s="23">
        <v>64.8</v>
      </c>
      <c r="I29" s="22">
        <f t="shared" si="3"/>
        <v>-14.799999999999997</v>
      </c>
      <c r="J29" s="22" t="s">
        <v>23</v>
      </c>
      <c r="K29" s="24"/>
      <c r="L29" s="25"/>
    </row>
    <row r="30" spans="1:12" ht="15.75" x14ac:dyDescent="0.25">
      <c r="A30" s="20" t="s">
        <v>244</v>
      </c>
      <c r="B30" s="21" t="s">
        <v>1184</v>
      </c>
      <c r="C30" s="28" t="s">
        <v>1177</v>
      </c>
      <c r="D30" s="29" t="s">
        <v>35</v>
      </c>
      <c r="E30" s="40" t="s">
        <v>308</v>
      </c>
      <c r="F30" s="22">
        <v>48.9</v>
      </c>
      <c r="G30" s="42">
        <v>50</v>
      </c>
      <c r="H30" s="23">
        <v>48.9</v>
      </c>
      <c r="I30" s="22">
        <f t="shared" si="0"/>
        <v>1.1000000000000014</v>
      </c>
      <c r="J30" s="22" t="s">
        <v>23</v>
      </c>
      <c r="K30" s="24"/>
      <c r="L30" s="25"/>
    </row>
    <row r="31" spans="1:12" ht="15.75" x14ac:dyDescent="0.25">
      <c r="A31" s="43"/>
      <c r="B31" s="44"/>
      <c r="C31" s="45"/>
      <c r="D31" s="46"/>
      <c r="E31" s="47"/>
      <c r="F31" s="48"/>
      <c r="G31" s="62"/>
      <c r="H31" s="49"/>
      <c r="I31" s="48"/>
      <c r="J31" s="48"/>
      <c r="K31" s="50"/>
      <c r="L31" s="51"/>
    </row>
    <row r="32" spans="1:12" ht="16.5" thickBot="1" x14ac:dyDescent="0.3">
      <c r="A32" s="30"/>
      <c r="B32" s="31"/>
      <c r="C32" s="32"/>
      <c r="D32" s="33"/>
      <c r="E32" s="41"/>
      <c r="F32" s="34"/>
      <c r="G32" s="34"/>
      <c r="H32" s="35"/>
      <c r="I32" s="34"/>
      <c r="J32" s="34" t="s">
        <v>64</v>
      </c>
      <c r="K32" s="36"/>
      <c r="L32" s="37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L25"/>
  <sheetViews>
    <sheetView topLeftCell="A2" workbookViewId="0">
      <pane xSplit="3" topLeftCell="E1" activePane="topRight" state="frozen"/>
      <selection pane="topRight" activeCell="A6" sqref="A6:XFD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947</v>
      </c>
      <c r="C4" s="26" t="s">
        <v>422</v>
      </c>
      <c r="D4" s="27" t="s">
        <v>48</v>
      </c>
      <c r="E4" s="39" t="s">
        <v>49</v>
      </c>
      <c r="F4" s="16">
        <v>8000</v>
      </c>
      <c r="G4" s="16">
        <v>270000</v>
      </c>
      <c r="H4" s="17">
        <f>194000+24000+8000</f>
        <v>226000</v>
      </c>
      <c r="I4" s="16">
        <f t="shared" ref="I4:I16" si="0">G4-H4</f>
        <v>44000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1162</v>
      </c>
      <c r="C5" s="28" t="s">
        <v>29</v>
      </c>
      <c r="D5" s="29" t="s">
        <v>18</v>
      </c>
      <c r="E5" s="40" t="s">
        <v>517</v>
      </c>
      <c r="F5" s="22">
        <v>7600</v>
      </c>
      <c r="G5" s="42">
        <v>70000</v>
      </c>
      <c r="H5" s="23">
        <f>16000+24000+7600</f>
        <v>47600</v>
      </c>
      <c r="I5" s="22">
        <f t="shared" si="0"/>
        <v>22400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939</v>
      </c>
      <c r="C6" s="28" t="s">
        <v>204</v>
      </c>
      <c r="D6" s="29" t="s">
        <v>1087</v>
      </c>
      <c r="E6" s="40" t="s">
        <v>206</v>
      </c>
      <c r="F6" s="22">
        <v>238.9</v>
      </c>
      <c r="G6" s="42">
        <v>3000</v>
      </c>
      <c r="H6" s="23">
        <f>173.3+229.2+271.7+326.2+238.9</f>
        <v>1239.3000000000002</v>
      </c>
      <c r="I6" s="22">
        <f t="shared" si="0"/>
        <v>1760.6999999999998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1017</v>
      </c>
      <c r="C7" s="28" t="s">
        <v>1002</v>
      </c>
      <c r="D7" s="29" t="s">
        <v>586</v>
      </c>
      <c r="E7" s="40" t="s">
        <v>1003</v>
      </c>
      <c r="F7" s="22">
        <f>3000+9000</f>
        <v>12000</v>
      </c>
      <c r="G7" s="22">
        <v>100000</v>
      </c>
      <c r="H7" s="23">
        <v>12000</v>
      </c>
      <c r="I7" s="22">
        <f>G7-H7</f>
        <v>88000</v>
      </c>
      <c r="J7" s="22" t="s">
        <v>16</v>
      </c>
      <c r="K7" s="24"/>
      <c r="L7" s="25"/>
    </row>
    <row r="8" spans="1:12" ht="15.75" x14ac:dyDescent="0.25">
      <c r="A8" s="20" t="s">
        <v>51</v>
      </c>
      <c r="B8" s="21" t="s">
        <v>1190</v>
      </c>
      <c r="C8" s="28" t="s">
        <v>85</v>
      </c>
      <c r="D8" s="29" t="s">
        <v>561</v>
      </c>
      <c r="E8" s="40" t="s">
        <v>38</v>
      </c>
      <c r="F8" s="22">
        <f>414.4+83.3</f>
        <v>497.7</v>
      </c>
      <c r="G8" s="42">
        <v>1000</v>
      </c>
      <c r="H8" s="23">
        <v>497.7</v>
      </c>
      <c r="I8" s="22">
        <f t="shared" si="0"/>
        <v>502.3</v>
      </c>
      <c r="J8" s="22" t="s">
        <v>16</v>
      </c>
      <c r="K8" s="24"/>
      <c r="L8" s="25"/>
    </row>
    <row r="9" spans="1:12" ht="15.75" x14ac:dyDescent="0.25">
      <c r="A9" s="20" t="s">
        <v>20</v>
      </c>
      <c r="B9" s="21" t="s">
        <v>1191</v>
      </c>
      <c r="C9" s="28" t="s">
        <v>1192</v>
      </c>
      <c r="D9" s="29" t="s">
        <v>27</v>
      </c>
      <c r="E9" s="40" t="s">
        <v>365</v>
      </c>
      <c r="F9" s="22">
        <v>6900</v>
      </c>
      <c r="G9" s="22">
        <v>6000</v>
      </c>
      <c r="H9" s="23">
        <v>6900</v>
      </c>
      <c r="I9" s="22">
        <f t="shared" si="0"/>
        <v>-900</v>
      </c>
      <c r="J9" s="22" t="s">
        <v>24</v>
      </c>
      <c r="K9" s="24"/>
      <c r="L9" s="25"/>
    </row>
    <row r="10" spans="1:12" ht="15.75" x14ac:dyDescent="0.25">
      <c r="A10" s="20" t="s">
        <v>17</v>
      </c>
      <c r="B10" s="21" t="s">
        <v>1193</v>
      </c>
      <c r="C10" s="28" t="s">
        <v>1194</v>
      </c>
      <c r="D10" s="29" t="s">
        <v>73</v>
      </c>
      <c r="E10" s="40" t="s">
        <v>402</v>
      </c>
      <c r="F10" s="22">
        <f>2050+1600</f>
        <v>3650</v>
      </c>
      <c r="G10" s="22">
        <v>10000</v>
      </c>
      <c r="H10" s="23">
        <f>3650</f>
        <v>3650</v>
      </c>
      <c r="I10" s="22">
        <f>G10-H10</f>
        <v>6350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1195</v>
      </c>
      <c r="C11" s="28" t="s">
        <v>34</v>
      </c>
      <c r="D11" s="29" t="s">
        <v>18</v>
      </c>
      <c r="E11" s="40" t="s">
        <v>1196</v>
      </c>
      <c r="F11" s="22">
        <v>10000</v>
      </c>
      <c r="G11" s="42">
        <v>100000</v>
      </c>
      <c r="H11" s="23">
        <v>10000</v>
      </c>
      <c r="I11" s="22">
        <f>G11-H11</f>
        <v>90000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1063</v>
      </c>
      <c r="C12" s="28" t="s">
        <v>15</v>
      </c>
      <c r="D12" s="29" t="s">
        <v>52</v>
      </c>
      <c r="E12" s="40" t="s">
        <v>39</v>
      </c>
      <c r="F12" s="22">
        <v>8000</v>
      </c>
      <c r="G12" s="42">
        <v>2000000</v>
      </c>
      <c r="H12" s="23">
        <f>29865+8000</f>
        <v>37865</v>
      </c>
      <c r="I12" s="22">
        <f t="shared" si="0"/>
        <v>1962135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1193</v>
      </c>
      <c r="C13" s="28" t="s">
        <v>1197</v>
      </c>
      <c r="D13" s="29" t="s">
        <v>73</v>
      </c>
      <c r="E13" s="40" t="s">
        <v>402</v>
      </c>
      <c r="F13" s="22">
        <v>400</v>
      </c>
      <c r="G13" s="42">
        <v>1000</v>
      </c>
      <c r="H13" s="23">
        <v>400</v>
      </c>
      <c r="I13" s="22">
        <f>G13-H13</f>
        <v>600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567</v>
      </c>
      <c r="C14" s="28" t="s">
        <v>15</v>
      </c>
      <c r="D14" s="29" t="s">
        <v>73</v>
      </c>
      <c r="E14" s="40" t="s">
        <v>74</v>
      </c>
      <c r="F14" s="22">
        <v>11000</v>
      </c>
      <c r="G14" s="22">
        <v>20000</v>
      </c>
      <c r="H14" s="23">
        <v>11000</v>
      </c>
      <c r="I14" s="22">
        <f t="shared" ref="I14" si="1">G14-H14</f>
        <v>9000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1169</v>
      </c>
      <c r="C15" s="28" t="s">
        <v>15</v>
      </c>
      <c r="D15" s="29" t="s">
        <v>522</v>
      </c>
      <c r="E15" s="40" t="s">
        <v>523</v>
      </c>
      <c r="F15" s="22">
        <v>5750</v>
      </c>
      <c r="G15" s="42">
        <v>10000</v>
      </c>
      <c r="H15" s="23">
        <f>8000+3319+5750</f>
        <v>17069</v>
      </c>
      <c r="I15" s="22">
        <f t="shared" si="0"/>
        <v>-7069</v>
      </c>
      <c r="J15" s="22" t="s">
        <v>24</v>
      </c>
      <c r="K15" s="24"/>
      <c r="L15" s="25"/>
    </row>
    <row r="16" spans="1:12" ht="15.75" x14ac:dyDescent="0.25">
      <c r="A16" s="20" t="s">
        <v>20</v>
      </c>
      <c r="B16" s="21" t="s">
        <v>1022</v>
      </c>
      <c r="C16" s="28" t="s">
        <v>530</v>
      </c>
      <c r="D16" s="29" t="s">
        <v>42</v>
      </c>
      <c r="E16" s="40" t="s">
        <v>470</v>
      </c>
      <c r="F16" s="22">
        <f>2500+10500</f>
        <v>13000</v>
      </c>
      <c r="G16" s="22">
        <v>30000</v>
      </c>
      <c r="H16" s="23">
        <f>8000+13000</f>
        <v>21000</v>
      </c>
      <c r="I16" s="22">
        <f t="shared" si="0"/>
        <v>9000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1189</v>
      </c>
      <c r="C17" s="28" t="s">
        <v>15</v>
      </c>
      <c r="D17" s="29" t="s">
        <v>18</v>
      </c>
      <c r="E17" s="40" t="s">
        <v>39</v>
      </c>
      <c r="F17" s="22">
        <f>11865+18000</f>
        <v>29865</v>
      </c>
      <c r="G17" s="22">
        <v>100000</v>
      </c>
      <c r="H17" s="23">
        <f>11865+18000</f>
        <v>29865</v>
      </c>
      <c r="I17" s="22">
        <f>G17-H17</f>
        <v>70135</v>
      </c>
      <c r="J17" s="22" t="s">
        <v>16</v>
      </c>
      <c r="K17" s="24"/>
      <c r="L17" s="25"/>
    </row>
    <row r="18" spans="1:12" ht="15.75" x14ac:dyDescent="0.25">
      <c r="A18" s="20" t="s">
        <v>82</v>
      </c>
      <c r="B18" s="21" t="s">
        <v>1024</v>
      </c>
      <c r="C18" s="28" t="s">
        <v>15</v>
      </c>
      <c r="D18" s="29" t="s">
        <v>91</v>
      </c>
      <c r="E18" s="40" t="s">
        <v>81</v>
      </c>
      <c r="F18" s="22">
        <v>60</v>
      </c>
      <c r="G18" s="22">
        <v>2000</v>
      </c>
      <c r="H18" s="23">
        <f>1455+305+60</f>
        <v>1820</v>
      </c>
      <c r="I18" s="22">
        <f>G18-H18</f>
        <v>180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1174</v>
      </c>
      <c r="C19" s="28" t="s">
        <v>541</v>
      </c>
      <c r="D19" s="29" t="s">
        <v>1175</v>
      </c>
      <c r="E19" s="40" t="s">
        <v>543</v>
      </c>
      <c r="F19" s="22">
        <v>1250</v>
      </c>
      <c r="G19" s="42">
        <v>50000</v>
      </c>
      <c r="H19" s="23">
        <f>20000+1250</f>
        <v>21250</v>
      </c>
      <c r="I19" s="22">
        <f t="shared" ref="I19:I22" si="2">G19-H19</f>
        <v>28750</v>
      </c>
      <c r="J19" s="22" t="s">
        <v>16</v>
      </c>
      <c r="K19" s="24"/>
      <c r="L19" s="25"/>
    </row>
    <row r="20" spans="1:12" ht="15.75" x14ac:dyDescent="0.25">
      <c r="A20" s="20" t="s">
        <v>14</v>
      </c>
      <c r="B20" s="21" t="s">
        <v>1186</v>
      </c>
      <c r="C20" s="28" t="s">
        <v>1187</v>
      </c>
      <c r="D20" s="29" t="s">
        <v>18</v>
      </c>
      <c r="E20" s="40" t="s">
        <v>1188</v>
      </c>
      <c r="F20" s="22">
        <v>15800</v>
      </c>
      <c r="G20" s="22">
        <v>15000</v>
      </c>
      <c r="H20" s="23">
        <v>15800</v>
      </c>
      <c r="I20" s="22">
        <f t="shared" si="2"/>
        <v>-800</v>
      </c>
      <c r="J20" s="22" t="s">
        <v>16</v>
      </c>
      <c r="K20" s="24"/>
      <c r="L20" s="25"/>
    </row>
    <row r="21" spans="1:12" ht="15.75" x14ac:dyDescent="0.25">
      <c r="A21" s="20" t="s">
        <v>228</v>
      </c>
      <c r="B21" s="21" t="s">
        <v>1173</v>
      </c>
      <c r="C21" s="28" t="s">
        <v>34</v>
      </c>
      <c r="D21" s="29" t="s">
        <v>18</v>
      </c>
      <c r="E21" s="40" t="s">
        <v>193</v>
      </c>
      <c r="F21" s="22">
        <v>42000</v>
      </c>
      <c r="G21" s="22">
        <v>200000</v>
      </c>
      <c r="H21" s="23">
        <f>60000+40000</f>
        <v>100000</v>
      </c>
      <c r="I21" s="22">
        <f t="shared" si="2"/>
        <v>100000</v>
      </c>
      <c r="J21" s="22" t="s">
        <v>16</v>
      </c>
      <c r="K21" s="24"/>
      <c r="L21" s="25"/>
    </row>
    <row r="22" spans="1:12" ht="15.75" x14ac:dyDescent="0.25">
      <c r="A22" s="20" t="s">
        <v>228</v>
      </c>
      <c r="B22" s="21" t="s">
        <v>1185</v>
      </c>
      <c r="C22" s="28" t="s">
        <v>36</v>
      </c>
      <c r="D22" s="29" t="s">
        <v>37</v>
      </c>
      <c r="E22" s="40" t="s">
        <v>313</v>
      </c>
      <c r="F22" s="22">
        <v>7600</v>
      </c>
      <c r="G22" s="22">
        <v>21000</v>
      </c>
      <c r="H22" s="23">
        <f>15500+7600</f>
        <v>23100</v>
      </c>
      <c r="I22" s="22">
        <f t="shared" si="2"/>
        <v>-2100</v>
      </c>
      <c r="J22" s="22" t="s">
        <v>23</v>
      </c>
      <c r="K22" s="24"/>
      <c r="L22" s="25"/>
    </row>
    <row r="23" spans="1:12" ht="15.75" x14ac:dyDescent="0.25">
      <c r="A23" s="20" t="s">
        <v>963</v>
      </c>
      <c r="B23" s="21" t="s">
        <v>971</v>
      </c>
      <c r="C23" s="28" t="s">
        <v>15</v>
      </c>
      <c r="D23" s="29" t="s">
        <v>1138</v>
      </c>
      <c r="E23" s="40" t="s">
        <v>966</v>
      </c>
      <c r="F23" s="22">
        <v>60</v>
      </c>
      <c r="G23" s="22">
        <v>1000</v>
      </c>
      <c r="H23" s="23">
        <f>368+90+60</f>
        <v>518</v>
      </c>
      <c r="I23" s="22">
        <f>G23-H23</f>
        <v>482</v>
      </c>
      <c r="J23" s="22" t="s">
        <v>16</v>
      </c>
      <c r="K23" s="24"/>
      <c r="L23" s="25"/>
    </row>
    <row r="24" spans="1:12" ht="15.75" x14ac:dyDescent="0.25">
      <c r="A24" s="43"/>
      <c r="B24" s="44"/>
      <c r="C24" s="45"/>
      <c r="D24" s="46"/>
      <c r="E24" s="47"/>
      <c r="F24" s="48"/>
      <c r="G24" s="62"/>
      <c r="H24" s="49"/>
      <c r="I24" s="48"/>
      <c r="J24" s="48"/>
      <c r="K24" s="50"/>
      <c r="L24" s="51"/>
    </row>
    <row r="25" spans="1:12" ht="16.5" thickBot="1" x14ac:dyDescent="0.3">
      <c r="A25" s="30"/>
      <c r="B25" s="31"/>
      <c r="C25" s="32"/>
      <c r="D25" s="33"/>
      <c r="E25" s="41"/>
      <c r="F25" s="34"/>
      <c r="G25" s="34"/>
      <c r="H25" s="35"/>
      <c r="I25" s="34"/>
      <c r="J25" s="34" t="s">
        <v>64</v>
      </c>
      <c r="K25" s="36"/>
      <c r="L25" s="37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L26"/>
  <sheetViews>
    <sheetView workbookViewId="0">
      <pane xSplit="3" topLeftCell="E1" activePane="topRight" state="frozen"/>
      <selection pane="topRight" activeCell="A4" sqref="A4:XFD4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947</v>
      </c>
      <c r="C4" s="26" t="s">
        <v>422</v>
      </c>
      <c r="D4" s="27" t="s">
        <v>48</v>
      </c>
      <c r="E4" s="39" t="s">
        <v>49</v>
      </c>
      <c r="F4" s="16">
        <v>20000</v>
      </c>
      <c r="G4" s="16">
        <v>270000</v>
      </c>
      <c r="H4" s="17">
        <f>194000+24000+8000+20000</f>
        <v>246000</v>
      </c>
      <c r="I4" s="16">
        <f t="shared" ref="I4:I17" si="0">G4-H4</f>
        <v>24000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1162</v>
      </c>
      <c r="C5" s="28" t="s">
        <v>29</v>
      </c>
      <c r="D5" s="29" t="s">
        <v>18</v>
      </c>
      <c r="E5" s="40" t="s">
        <v>517</v>
      </c>
      <c r="F5" s="22">
        <v>28500</v>
      </c>
      <c r="G5" s="42">
        <v>70000</v>
      </c>
      <c r="H5" s="23">
        <f>16000+24000+7600+28500</f>
        <v>76100</v>
      </c>
      <c r="I5" s="22">
        <f t="shared" si="0"/>
        <v>-6100</v>
      </c>
      <c r="J5" s="22" t="s">
        <v>24</v>
      </c>
      <c r="K5" s="24"/>
      <c r="L5" s="25"/>
    </row>
    <row r="6" spans="1:12" ht="15.75" x14ac:dyDescent="0.25">
      <c r="A6" s="20" t="s">
        <v>20</v>
      </c>
      <c r="B6" s="21" t="s">
        <v>1198</v>
      </c>
      <c r="C6" s="28" t="s">
        <v>515</v>
      </c>
      <c r="D6" s="29" t="s">
        <v>42</v>
      </c>
      <c r="E6" s="40" t="s">
        <v>365</v>
      </c>
      <c r="F6" s="22">
        <v>14250</v>
      </c>
      <c r="G6" s="42">
        <v>15000</v>
      </c>
      <c r="H6" s="23">
        <v>14250</v>
      </c>
      <c r="I6" s="22">
        <f t="shared" si="0"/>
        <v>750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1017</v>
      </c>
      <c r="C7" s="28" t="s">
        <v>1002</v>
      </c>
      <c r="D7" s="29" t="s">
        <v>586</v>
      </c>
      <c r="E7" s="40" t="s">
        <v>1003</v>
      </c>
      <c r="F7" s="22">
        <v>7925</v>
      </c>
      <c r="G7" s="22">
        <v>100000</v>
      </c>
      <c r="H7" s="23">
        <f>12000+7925</f>
        <v>19925</v>
      </c>
      <c r="I7" s="22">
        <f>G7-H7</f>
        <v>80075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1199</v>
      </c>
      <c r="C8" s="28" t="s">
        <v>214</v>
      </c>
      <c r="D8" s="29" t="s">
        <v>452</v>
      </c>
      <c r="E8" s="40" t="s">
        <v>216</v>
      </c>
      <c r="F8" s="22">
        <v>11000</v>
      </c>
      <c r="G8" s="42">
        <v>30000</v>
      </c>
      <c r="H8" s="23">
        <v>11000</v>
      </c>
      <c r="I8" s="22">
        <f t="shared" si="0"/>
        <v>19000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1200</v>
      </c>
      <c r="C9" s="28" t="s">
        <v>1201</v>
      </c>
      <c r="D9" s="29" t="s">
        <v>18</v>
      </c>
      <c r="E9" s="40" t="s">
        <v>1202</v>
      </c>
      <c r="F9" s="22">
        <f>12150+2550</f>
        <v>14700</v>
      </c>
      <c r="G9" s="22">
        <v>40000</v>
      </c>
      <c r="H9" s="23">
        <v>14700</v>
      </c>
      <c r="I9" s="22">
        <f t="shared" si="0"/>
        <v>25300</v>
      </c>
      <c r="J9" s="22" t="s">
        <v>16</v>
      </c>
      <c r="K9" s="24"/>
      <c r="L9" s="25"/>
    </row>
    <row r="10" spans="1:12" ht="15.75" x14ac:dyDescent="0.25">
      <c r="A10" s="20" t="s">
        <v>17</v>
      </c>
      <c r="B10" s="21" t="s">
        <v>1193</v>
      </c>
      <c r="C10" s="28" t="s">
        <v>1194</v>
      </c>
      <c r="D10" s="29" t="s">
        <v>73</v>
      </c>
      <c r="E10" s="40" t="s">
        <v>402</v>
      </c>
      <c r="F10" s="22">
        <v>700</v>
      </c>
      <c r="G10" s="22">
        <v>10000</v>
      </c>
      <c r="H10" s="23">
        <f>3650+700</f>
        <v>4350</v>
      </c>
      <c r="I10" s="22">
        <f>G10-H10</f>
        <v>5650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1195</v>
      </c>
      <c r="C11" s="28" t="s">
        <v>34</v>
      </c>
      <c r="D11" s="29" t="s">
        <v>18</v>
      </c>
      <c r="E11" s="40" t="s">
        <v>1196</v>
      </c>
      <c r="F11" s="22">
        <f>24750+1500</f>
        <v>26250</v>
      </c>
      <c r="G11" s="42">
        <v>100000</v>
      </c>
      <c r="H11" s="23">
        <f>10000+26250</f>
        <v>36250</v>
      </c>
      <c r="I11" s="22">
        <f>G11-H11</f>
        <v>63750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1063</v>
      </c>
      <c r="C12" s="28" t="s">
        <v>15</v>
      </c>
      <c r="D12" s="29" t="s">
        <v>52</v>
      </c>
      <c r="E12" s="40" t="s">
        <v>39</v>
      </c>
      <c r="F12" s="22">
        <v>3150</v>
      </c>
      <c r="G12" s="42">
        <v>2000000</v>
      </c>
      <c r="H12" s="23">
        <f>29865+8000+3150</f>
        <v>41015</v>
      </c>
      <c r="I12" s="22">
        <f t="shared" si="0"/>
        <v>1958985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1165</v>
      </c>
      <c r="C13" s="28" t="s">
        <v>70</v>
      </c>
      <c r="D13" s="29" t="s">
        <v>71</v>
      </c>
      <c r="E13" s="40" t="s">
        <v>222</v>
      </c>
      <c r="F13" s="22">
        <v>16000</v>
      </c>
      <c r="G13" s="22">
        <v>80000</v>
      </c>
      <c r="H13" s="23">
        <f>24000+11000+16000</f>
        <v>51000</v>
      </c>
      <c r="I13" s="22">
        <f>G13-H13</f>
        <v>29000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567</v>
      </c>
      <c r="C14" s="28" t="s">
        <v>15</v>
      </c>
      <c r="D14" s="29" t="s">
        <v>73</v>
      </c>
      <c r="E14" s="40" t="s">
        <v>74</v>
      </c>
      <c r="F14" s="22">
        <v>2150</v>
      </c>
      <c r="G14" s="22">
        <v>20000</v>
      </c>
      <c r="H14" s="23">
        <f>11000+2150</f>
        <v>13150</v>
      </c>
      <c r="I14" s="22">
        <f t="shared" ref="I14" si="1">G14-H14</f>
        <v>6850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1203</v>
      </c>
      <c r="C15" s="28" t="s">
        <v>1204</v>
      </c>
      <c r="D15" s="29" t="s">
        <v>27</v>
      </c>
      <c r="E15" s="40" t="s">
        <v>539</v>
      </c>
      <c r="F15" s="22">
        <v>2150</v>
      </c>
      <c r="G15" s="42">
        <v>10000</v>
      </c>
      <c r="H15" s="23">
        <v>2150</v>
      </c>
      <c r="I15" s="22">
        <f t="shared" si="0"/>
        <v>7850</v>
      </c>
      <c r="J15" s="22" t="s">
        <v>16</v>
      </c>
      <c r="K15" s="24"/>
      <c r="L15" s="25"/>
    </row>
    <row r="16" spans="1:12" ht="15.75" x14ac:dyDescent="0.25">
      <c r="A16" s="20" t="s">
        <v>20</v>
      </c>
      <c r="B16" s="21" t="s">
        <v>1022</v>
      </c>
      <c r="C16" s="28" t="s">
        <v>530</v>
      </c>
      <c r="D16" s="29" t="s">
        <v>42</v>
      </c>
      <c r="E16" s="40" t="s">
        <v>470</v>
      </c>
      <c r="F16" s="22">
        <v>2000</v>
      </c>
      <c r="G16" s="22">
        <v>30000</v>
      </c>
      <c r="H16" s="23">
        <f>8000+13000+2000</f>
        <v>23000</v>
      </c>
      <c r="I16" s="22">
        <f t="shared" si="0"/>
        <v>7000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1211</v>
      </c>
      <c r="C17" s="28" t="s">
        <v>1166</v>
      </c>
      <c r="D17" s="29" t="s">
        <v>1171</v>
      </c>
      <c r="E17" s="40" t="s">
        <v>704</v>
      </c>
      <c r="F17" s="22">
        <v>250</v>
      </c>
      <c r="G17" s="42">
        <v>10000</v>
      </c>
      <c r="H17" s="23">
        <f>1500+250</f>
        <v>1750</v>
      </c>
      <c r="I17" s="22">
        <f t="shared" si="0"/>
        <v>8250</v>
      </c>
      <c r="J17" s="22" t="s">
        <v>16</v>
      </c>
      <c r="K17" s="24"/>
      <c r="L17" s="25"/>
    </row>
    <row r="18" spans="1:12" ht="15.75" x14ac:dyDescent="0.25">
      <c r="A18" s="20" t="s">
        <v>40</v>
      </c>
      <c r="B18" s="21" t="s">
        <v>734</v>
      </c>
      <c r="C18" s="28" t="s">
        <v>15</v>
      </c>
      <c r="D18" s="29" t="s">
        <v>68</v>
      </c>
      <c r="E18" s="40" t="s">
        <v>69</v>
      </c>
      <c r="F18" s="22">
        <v>86000</v>
      </c>
      <c r="G18" s="22">
        <v>2000000</v>
      </c>
      <c r="H18" s="23">
        <v>86000</v>
      </c>
      <c r="I18" s="22">
        <f>G18-H18</f>
        <v>1914000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1209</v>
      </c>
      <c r="C19" s="28" t="s">
        <v>417</v>
      </c>
      <c r="D19" s="29" t="s">
        <v>27</v>
      </c>
      <c r="E19" s="40" t="s">
        <v>1210</v>
      </c>
      <c r="F19" s="22">
        <v>8400</v>
      </c>
      <c r="G19" s="22">
        <v>26000</v>
      </c>
      <c r="H19" s="23">
        <v>8400</v>
      </c>
      <c r="I19" s="22">
        <f>G19-H19</f>
        <v>17600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1174</v>
      </c>
      <c r="C20" s="28" t="s">
        <v>541</v>
      </c>
      <c r="D20" s="29" t="s">
        <v>1175</v>
      </c>
      <c r="E20" s="40" t="s">
        <v>543</v>
      </c>
      <c r="F20" s="22">
        <v>18960</v>
      </c>
      <c r="G20" s="42">
        <v>50000</v>
      </c>
      <c r="H20" s="23">
        <f>20000+1250+18960</f>
        <v>40210</v>
      </c>
      <c r="I20" s="22">
        <f t="shared" ref="I20:I23" si="2">G20-H20</f>
        <v>9790</v>
      </c>
      <c r="J20" s="22" t="s">
        <v>16</v>
      </c>
      <c r="K20" s="24"/>
      <c r="L20" s="25"/>
    </row>
    <row r="21" spans="1:12" ht="15.75" x14ac:dyDescent="0.25">
      <c r="A21" s="20" t="s">
        <v>228</v>
      </c>
      <c r="B21" s="21" t="s">
        <v>1208</v>
      </c>
      <c r="C21" s="28" t="s">
        <v>15</v>
      </c>
      <c r="D21" s="29" t="s">
        <v>52</v>
      </c>
      <c r="E21" s="40" t="s">
        <v>722</v>
      </c>
      <c r="F21" s="22">
        <v>620.6</v>
      </c>
      <c r="G21" s="22">
        <v>2000</v>
      </c>
      <c r="H21" s="23">
        <v>620.6</v>
      </c>
      <c r="I21" s="22">
        <f t="shared" si="2"/>
        <v>1379.4</v>
      </c>
      <c r="J21" s="22" t="s">
        <v>16</v>
      </c>
      <c r="K21" s="24"/>
      <c r="L21" s="25"/>
    </row>
    <row r="22" spans="1:12" ht="15.75" x14ac:dyDescent="0.25">
      <c r="A22" s="20" t="s">
        <v>228</v>
      </c>
      <c r="B22" s="21" t="s">
        <v>1173</v>
      </c>
      <c r="C22" s="28" t="s">
        <v>34</v>
      </c>
      <c r="D22" s="29" t="s">
        <v>18</v>
      </c>
      <c r="E22" s="40" t="s">
        <v>193</v>
      </c>
      <c r="F22" s="22">
        <v>44740</v>
      </c>
      <c r="G22" s="22">
        <v>200000</v>
      </c>
      <c r="H22" s="23">
        <f>60000+40000+44740</f>
        <v>144740</v>
      </c>
      <c r="I22" s="22">
        <f t="shared" si="2"/>
        <v>55260</v>
      </c>
      <c r="J22" s="22" t="s">
        <v>16</v>
      </c>
      <c r="K22" s="24"/>
      <c r="L22" s="25"/>
    </row>
    <row r="23" spans="1:12" ht="15.75" x14ac:dyDescent="0.25">
      <c r="A23" s="20" t="s">
        <v>17</v>
      </c>
      <c r="B23" s="21" t="s">
        <v>1154</v>
      </c>
      <c r="C23" s="28" t="s">
        <v>1206</v>
      </c>
      <c r="D23" s="29" t="s">
        <v>18</v>
      </c>
      <c r="E23" s="40" t="s">
        <v>33</v>
      </c>
      <c r="F23" s="22">
        <f>6050+1250</f>
        <v>7300</v>
      </c>
      <c r="G23" s="22">
        <v>15000</v>
      </c>
      <c r="H23" s="23">
        <v>7300</v>
      </c>
      <c r="I23" s="22">
        <f t="shared" si="2"/>
        <v>7700</v>
      </c>
      <c r="J23" s="22" t="s">
        <v>16</v>
      </c>
      <c r="K23" s="24"/>
      <c r="L23" s="25"/>
    </row>
    <row r="24" spans="1:12" ht="15.75" x14ac:dyDescent="0.25">
      <c r="A24" s="20" t="s">
        <v>19</v>
      </c>
      <c r="B24" s="21" t="s">
        <v>1199</v>
      </c>
      <c r="C24" s="28" t="s">
        <v>630</v>
      </c>
      <c r="D24" s="29" t="s">
        <v>452</v>
      </c>
      <c r="E24" s="40" t="s">
        <v>1205</v>
      </c>
      <c r="F24" s="22">
        <v>10000</v>
      </c>
      <c r="G24" s="22">
        <v>10000</v>
      </c>
      <c r="H24" s="23">
        <v>10000</v>
      </c>
      <c r="I24" s="22">
        <f>G24-H24</f>
        <v>0</v>
      </c>
      <c r="J24" s="22" t="s">
        <v>23</v>
      </c>
      <c r="K24" s="24"/>
      <c r="L24" s="25"/>
    </row>
    <row r="25" spans="1:12" ht="15.75" x14ac:dyDescent="0.25">
      <c r="A25" s="43" t="s">
        <v>228</v>
      </c>
      <c r="B25" s="44" t="s">
        <v>1207</v>
      </c>
      <c r="C25" s="45" t="s">
        <v>79</v>
      </c>
      <c r="D25" s="46" t="s">
        <v>18</v>
      </c>
      <c r="E25" s="47" t="s">
        <v>168</v>
      </c>
      <c r="F25" s="48">
        <v>50000</v>
      </c>
      <c r="G25" s="62">
        <v>50000</v>
      </c>
      <c r="H25" s="49">
        <v>5000</v>
      </c>
      <c r="I25" s="48">
        <f>G25-H25</f>
        <v>45000</v>
      </c>
      <c r="J25" s="48" t="s">
        <v>23</v>
      </c>
      <c r="K25" s="50"/>
      <c r="L25" s="51"/>
    </row>
    <row r="26" spans="1:12" ht="16.5" thickBot="1" x14ac:dyDescent="0.3">
      <c r="A26" s="30"/>
      <c r="B26" s="31"/>
      <c r="C26" s="32"/>
      <c r="D26" s="33"/>
      <c r="E26" s="41"/>
      <c r="F26" s="34"/>
      <c r="G26" s="34"/>
      <c r="H26" s="35"/>
      <c r="I26" s="34"/>
      <c r="J26" s="34" t="s">
        <v>64</v>
      </c>
      <c r="K26" s="36"/>
      <c r="L26" s="37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L21"/>
  <sheetViews>
    <sheetView workbookViewId="0">
      <pane xSplit="3" topLeftCell="E1" activePane="topRight" state="frozen"/>
      <selection pane="topRight" activeCell="A13" sqref="A13:XFD13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7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30</v>
      </c>
      <c r="B4" s="15" t="s">
        <v>1212</v>
      </c>
      <c r="C4" s="26" t="s">
        <v>1213</v>
      </c>
      <c r="D4" s="27" t="s">
        <v>1214</v>
      </c>
      <c r="E4" s="39" t="s">
        <v>1215</v>
      </c>
      <c r="F4" s="16">
        <v>22000</v>
      </c>
      <c r="G4" s="16">
        <v>100000</v>
      </c>
      <c r="H4" s="17">
        <v>22000</v>
      </c>
      <c r="I4" s="16">
        <f t="shared" ref="I4:I13" si="0">G4-H4</f>
        <v>78000</v>
      </c>
      <c r="J4" s="16" t="s">
        <v>16</v>
      </c>
      <c r="K4" s="18"/>
      <c r="L4" s="19"/>
    </row>
    <row r="5" spans="1:12" ht="15.75" x14ac:dyDescent="0.25">
      <c r="A5" s="20" t="s">
        <v>231</v>
      </c>
      <c r="B5" s="21" t="s">
        <v>1062</v>
      </c>
      <c r="C5" s="28" t="s">
        <v>865</v>
      </c>
      <c r="D5" s="29" t="s">
        <v>240</v>
      </c>
      <c r="E5" s="40" t="s">
        <v>866</v>
      </c>
      <c r="F5" s="22">
        <v>102.1</v>
      </c>
      <c r="G5" s="42">
        <v>5000</v>
      </c>
      <c r="H5" s="23">
        <v>102.1</v>
      </c>
      <c r="I5" s="22">
        <f t="shared" si="0"/>
        <v>4897.8999999999996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1216</v>
      </c>
      <c r="C6" s="28" t="s">
        <v>1217</v>
      </c>
      <c r="D6" s="29" t="s">
        <v>1218</v>
      </c>
      <c r="E6" s="40" t="s">
        <v>38</v>
      </c>
      <c r="F6" s="22">
        <v>321.89999999999998</v>
      </c>
      <c r="G6" s="42">
        <v>1000</v>
      </c>
      <c r="H6" s="23">
        <v>321.89999999999998</v>
      </c>
      <c r="I6" s="22">
        <f t="shared" si="0"/>
        <v>678.1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1190</v>
      </c>
      <c r="C7" s="28" t="s">
        <v>1217</v>
      </c>
      <c r="D7" s="29" t="s">
        <v>561</v>
      </c>
      <c r="E7" s="40" t="s">
        <v>38</v>
      </c>
      <c r="F7" s="22">
        <v>248.2</v>
      </c>
      <c r="G7" s="22">
        <v>1000</v>
      </c>
      <c r="H7" s="23">
        <v>331.5</v>
      </c>
      <c r="I7" s="22">
        <f>G7-H7</f>
        <v>668.5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976</v>
      </c>
      <c r="C8" s="28" t="s">
        <v>214</v>
      </c>
      <c r="D8" s="29" t="s">
        <v>452</v>
      </c>
      <c r="E8" s="40" t="s">
        <v>216</v>
      </c>
      <c r="F8" s="22">
        <f>625+6000</f>
        <v>6625</v>
      </c>
      <c r="G8" s="42">
        <v>30000</v>
      </c>
      <c r="H8" s="23">
        <v>6625</v>
      </c>
      <c r="I8" s="22">
        <f t="shared" si="0"/>
        <v>23375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1200</v>
      </c>
      <c r="C9" s="28" t="s">
        <v>1201</v>
      </c>
      <c r="D9" s="29" t="s">
        <v>18</v>
      </c>
      <c r="E9" s="40" t="s">
        <v>1202</v>
      </c>
      <c r="F9" s="22">
        <v>3450</v>
      </c>
      <c r="G9" s="22">
        <v>40000</v>
      </c>
      <c r="H9" s="23">
        <f>14700+3450</f>
        <v>18150</v>
      </c>
      <c r="I9" s="22">
        <f t="shared" si="0"/>
        <v>21850</v>
      </c>
      <c r="J9" s="22" t="s">
        <v>16</v>
      </c>
      <c r="K9" s="24"/>
      <c r="L9" s="25"/>
    </row>
    <row r="10" spans="1:12" ht="15.75" x14ac:dyDescent="0.25">
      <c r="A10" s="20" t="s">
        <v>20</v>
      </c>
      <c r="B10" s="21" t="s">
        <v>1195</v>
      </c>
      <c r="C10" s="28" t="s">
        <v>34</v>
      </c>
      <c r="D10" s="29" t="s">
        <v>18</v>
      </c>
      <c r="E10" s="40" t="s">
        <v>1196</v>
      </c>
      <c r="F10" s="22">
        <v>1920</v>
      </c>
      <c r="G10" s="42">
        <v>100000</v>
      </c>
      <c r="H10" s="23">
        <f>10000+26250+1920</f>
        <v>38170</v>
      </c>
      <c r="I10" s="22">
        <f>G10-H10</f>
        <v>61830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1165</v>
      </c>
      <c r="C11" s="28" t="s">
        <v>70</v>
      </c>
      <c r="D11" s="29" t="s">
        <v>71</v>
      </c>
      <c r="E11" s="40" t="s">
        <v>222</v>
      </c>
      <c r="F11" s="22">
        <v>23370</v>
      </c>
      <c r="G11" s="22">
        <v>80000</v>
      </c>
      <c r="H11" s="23">
        <f>24000+11000+16000+23370</f>
        <v>74370</v>
      </c>
      <c r="I11" s="22">
        <f>G11-H11</f>
        <v>5630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1219</v>
      </c>
      <c r="C12" s="28" t="s">
        <v>1220</v>
      </c>
      <c r="D12" s="29" t="s">
        <v>27</v>
      </c>
      <c r="E12" s="40" t="s">
        <v>1221</v>
      </c>
      <c r="F12" s="22">
        <v>20000</v>
      </c>
      <c r="G12" s="42">
        <v>28000</v>
      </c>
      <c r="H12" s="23">
        <v>20000</v>
      </c>
      <c r="I12" s="22">
        <f t="shared" si="0"/>
        <v>8000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1211</v>
      </c>
      <c r="C13" s="28" t="s">
        <v>1166</v>
      </c>
      <c r="D13" s="29" t="s">
        <v>1171</v>
      </c>
      <c r="E13" s="40" t="s">
        <v>704</v>
      </c>
      <c r="F13" s="22">
        <v>572</v>
      </c>
      <c r="G13" s="42">
        <v>10000</v>
      </c>
      <c r="H13" s="23">
        <f>1500+250+572</f>
        <v>2322</v>
      </c>
      <c r="I13" s="22">
        <f t="shared" si="0"/>
        <v>7678</v>
      </c>
      <c r="J13" s="22" t="s">
        <v>16</v>
      </c>
      <c r="K13" s="24"/>
      <c r="L13" s="25"/>
    </row>
    <row r="14" spans="1:12" ht="15.75" x14ac:dyDescent="0.25">
      <c r="A14" s="20" t="s">
        <v>40</v>
      </c>
      <c r="B14" s="21" t="s">
        <v>734</v>
      </c>
      <c r="C14" s="28" t="s">
        <v>15</v>
      </c>
      <c r="D14" s="29" t="s">
        <v>68</v>
      </c>
      <c r="E14" s="40" t="s">
        <v>69</v>
      </c>
      <c r="F14" s="22">
        <v>16000</v>
      </c>
      <c r="G14" s="22">
        <v>2000000</v>
      </c>
      <c r="H14" s="23">
        <f>86000+16000</f>
        <v>102000</v>
      </c>
      <c r="I14" s="22">
        <f>G14-H14</f>
        <v>1898000</v>
      </c>
      <c r="J14" s="22" t="s">
        <v>16</v>
      </c>
      <c r="K14" s="24"/>
      <c r="L14" s="25"/>
    </row>
    <row r="15" spans="1:12" ht="15.75" x14ac:dyDescent="0.25">
      <c r="A15" s="20" t="s">
        <v>82</v>
      </c>
      <c r="B15" s="21" t="s">
        <v>1024</v>
      </c>
      <c r="C15" s="28" t="s">
        <v>15</v>
      </c>
      <c r="D15" s="29" t="s">
        <v>91</v>
      </c>
      <c r="E15" s="40" t="s">
        <v>81</v>
      </c>
      <c r="F15" s="22">
        <v>125</v>
      </c>
      <c r="G15" s="22">
        <v>2000</v>
      </c>
      <c r="H15" s="23">
        <f>1455+305+60+125</f>
        <v>1945</v>
      </c>
      <c r="I15" s="22">
        <f>G15-H15</f>
        <v>55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1208</v>
      </c>
      <c r="C16" s="28" t="s">
        <v>15</v>
      </c>
      <c r="D16" s="29" t="s">
        <v>52</v>
      </c>
      <c r="E16" s="40" t="s">
        <v>722</v>
      </c>
      <c r="F16" s="22">
        <v>641.70000000000005</v>
      </c>
      <c r="G16" s="22">
        <v>2000</v>
      </c>
      <c r="H16" s="23">
        <f>620.6+641.7</f>
        <v>1262.3000000000002</v>
      </c>
      <c r="I16" s="22">
        <f t="shared" ref="I16:I18" si="1">G16-H16</f>
        <v>737.69999999999982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1225</v>
      </c>
      <c r="C17" s="28" t="s">
        <v>15</v>
      </c>
      <c r="D17" s="29" t="s">
        <v>219</v>
      </c>
      <c r="E17" s="40" t="s">
        <v>220</v>
      </c>
      <c r="F17" s="22">
        <v>7000</v>
      </c>
      <c r="G17" s="22">
        <v>30000</v>
      </c>
      <c r="H17" s="23">
        <v>7000</v>
      </c>
      <c r="I17" s="22">
        <f t="shared" si="1"/>
        <v>23000</v>
      </c>
      <c r="J17" s="22" t="s">
        <v>16</v>
      </c>
      <c r="K17" s="24"/>
      <c r="L17" s="25"/>
    </row>
    <row r="18" spans="1:12" ht="15.75" x14ac:dyDescent="0.25">
      <c r="A18" s="20" t="s">
        <v>17</v>
      </c>
      <c r="B18" s="21" t="s">
        <v>1154</v>
      </c>
      <c r="C18" s="28" t="s">
        <v>1206</v>
      </c>
      <c r="D18" s="29" t="s">
        <v>18</v>
      </c>
      <c r="E18" s="40" t="s">
        <v>33</v>
      </c>
      <c r="F18" s="22">
        <f>1550+2100</f>
        <v>3650</v>
      </c>
      <c r="G18" s="22">
        <v>15000</v>
      </c>
      <c r="H18" s="23">
        <f>7300+3650</f>
        <v>10950</v>
      </c>
      <c r="I18" s="22">
        <f t="shared" si="1"/>
        <v>4050</v>
      </c>
      <c r="J18" s="22" t="s">
        <v>16</v>
      </c>
      <c r="K18" s="24"/>
      <c r="L18" s="25"/>
    </row>
    <row r="19" spans="1:12" ht="15.75" x14ac:dyDescent="0.25">
      <c r="A19" s="20" t="s">
        <v>19</v>
      </c>
      <c r="B19" s="21" t="s">
        <v>1222</v>
      </c>
      <c r="C19" s="28" t="s">
        <v>15</v>
      </c>
      <c r="D19" s="29" t="s">
        <v>53</v>
      </c>
      <c r="E19" s="40" t="s">
        <v>55</v>
      </c>
      <c r="F19" s="22">
        <v>80000</v>
      </c>
      <c r="G19" s="22">
        <v>30000</v>
      </c>
      <c r="H19" s="23">
        <v>39000</v>
      </c>
      <c r="I19" s="22">
        <f>G19-H19</f>
        <v>-9000</v>
      </c>
      <c r="J19" s="22" t="s">
        <v>23</v>
      </c>
      <c r="K19" s="24"/>
      <c r="L19" s="25"/>
    </row>
    <row r="20" spans="1:12" ht="15.75" x14ac:dyDescent="0.25">
      <c r="A20" s="43" t="s">
        <v>1223</v>
      </c>
      <c r="B20" s="44" t="s">
        <v>1224</v>
      </c>
      <c r="C20" s="45" t="s">
        <v>923</v>
      </c>
      <c r="D20" s="46" t="s">
        <v>18</v>
      </c>
      <c r="E20" s="47" t="s">
        <v>328</v>
      </c>
      <c r="F20" s="48">
        <v>9000</v>
      </c>
      <c r="G20" s="62">
        <v>20000</v>
      </c>
      <c r="H20" s="49">
        <v>9000</v>
      </c>
      <c r="I20" s="48">
        <f>G20-H20</f>
        <v>11000</v>
      </c>
      <c r="J20" s="48" t="s">
        <v>16</v>
      </c>
      <c r="K20" s="50"/>
      <c r="L20" s="51"/>
    </row>
    <row r="21" spans="1:12" ht="16.5" thickBot="1" x14ac:dyDescent="0.3">
      <c r="A21" s="30"/>
      <c r="B21" s="31"/>
      <c r="C21" s="32"/>
      <c r="D21" s="33"/>
      <c r="E21" s="41"/>
      <c r="F21" s="34"/>
      <c r="G21" s="34"/>
      <c r="H21" s="35"/>
      <c r="I21" s="34"/>
      <c r="J21" s="34" t="s">
        <v>64</v>
      </c>
      <c r="K21" s="36"/>
      <c r="L21" s="37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L25"/>
  <sheetViews>
    <sheetView workbookViewId="0">
      <pane xSplit="3" topLeftCell="E1" activePane="topRight" state="frozen"/>
      <selection pane="topRight" activeCell="H16" sqref="H1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30</v>
      </c>
      <c r="B4" s="15" t="s">
        <v>1212</v>
      </c>
      <c r="C4" s="26" t="s">
        <v>1213</v>
      </c>
      <c r="D4" s="65" t="s">
        <v>1214</v>
      </c>
      <c r="E4" s="39" t="s">
        <v>1215</v>
      </c>
      <c r="F4" s="16">
        <v>28000</v>
      </c>
      <c r="G4" s="16">
        <v>100000</v>
      </c>
      <c r="H4" s="17">
        <f>22000+28000</f>
        <v>50000</v>
      </c>
      <c r="I4" s="16">
        <f t="shared" ref="I4:I13" si="0">G4-H4</f>
        <v>50000</v>
      </c>
      <c r="J4" s="16" t="s">
        <v>16</v>
      </c>
      <c r="K4" s="18"/>
      <c r="L4" s="19"/>
    </row>
    <row r="5" spans="1:12" ht="15.75" x14ac:dyDescent="0.25">
      <c r="A5" s="20" t="s">
        <v>20</v>
      </c>
      <c r="B5" s="21" t="s">
        <v>1226</v>
      </c>
      <c r="C5" s="28" t="s">
        <v>1227</v>
      </c>
      <c r="D5" s="66" t="s">
        <v>18</v>
      </c>
      <c r="E5" s="40" t="s">
        <v>1228</v>
      </c>
      <c r="F5" s="22">
        <v>15200</v>
      </c>
      <c r="G5" s="42">
        <v>12000</v>
      </c>
      <c r="H5" s="23">
        <v>15200</v>
      </c>
      <c r="I5" s="22">
        <f t="shared" si="0"/>
        <v>-3200</v>
      </c>
      <c r="J5" s="22" t="s">
        <v>24</v>
      </c>
      <c r="K5" s="24"/>
      <c r="L5" s="25"/>
    </row>
    <row r="6" spans="1:12" ht="15.75" x14ac:dyDescent="0.25">
      <c r="A6" s="20" t="s">
        <v>22</v>
      </c>
      <c r="B6" s="21" t="s">
        <v>1216</v>
      </c>
      <c r="C6" s="28" t="s">
        <v>1217</v>
      </c>
      <c r="D6" s="66" t="s">
        <v>1218</v>
      </c>
      <c r="E6" s="40" t="s">
        <v>38</v>
      </c>
      <c r="F6" s="22">
        <v>120</v>
      </c>
      <c r="G6" s="42">
        <v>1000</v>
      </c>
      <c r="H6" s="23">
        <f>321.9+120</f>
        <v>441.9</v>
      </c>
      <c r="I6" s="22">
        <f t="shared" si="0"/>
        <v>558.1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1229</v>
      </c>
      <c r="C7" s="28" t="s">
        <v>870</v>
      </c>
      <c r="D7" s="66" t="s">
        <v>18</v>
      </c>
      <c r="E7" s="40" t="s">
        <v>342</v>
      </c>
      <c r="F7" s="22">
        <f>595+1125</f>
        <v>1720</v>
      </c>
      <c r="G7" s="22">
        <v>1800</v>
      </c>
      <c r="H7" s="23">
        <f>1125+595</f>
        <v>1720</v>
      </c>
      <c r="I7" s="22">
        <f>G7-H7</f>
        <v>80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1230</v>
      </c>
      <c r="C8" s="28" t="s">
        <v>187</v>
      </c>
      <c r="D8" s="66" t="s">
        <v>211</v>
      </c>
      <c r="E8" s="40" t="s">
        <v>46</v>
      </c>
      <c r="F8" s="22">
        <v>103.5</v>
      </c>
      <c r="G8" s="42">
        <v>400</v>
      </c>
      <c r="H8" s="23">
        <v>103.5</v>
      </c>
      <c r="I8" s="22">
        <f t="shared" si="0"/>
        <v>296.5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1231</v>
      </c>
      <c r="C9" s="28" t="s">
        <v>61</v>
      </c>
      <c r="D9" s="66" t="s">
        <v>211</v>
      </c>
      <c r="E9" s="40" t="s">
        <v>46</v>
      </c>
      <c r="F9" s="22">
        <v>56.4</v>
      </c>
      <c r="G9" s="22">
        <v>400</v>
      </c>
      <c r="H9" s="23">
        <v>56.4</v>
      </c>
      <c r="I9" s="22">
        <f t="shared" si="0"/>
        <v>343.6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1232</v>
      </c>
      <c r="C10" s="28" t="s">
        <v>29</v>
      </c>
      <c r="D10" s="29" t="s">
        <v>18</v>
      </c>
      <c r="E10" s="40" t="s">
        <v>517</v>
      </c>
      <c r="F10" s="22">
        <v>12000</v>
      </c>
      <c r="G10" s="42">
        <v>40000</v>
      </c>
      <c r="H10" s="23">
        <v>12000</v>
      </c>
      <c r="I10" s="22">
        <f t="shared" si="0"/>
        <v>28000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1233</v>
      </c>
      <c r="C11" s="28" t="s">
        <v>15</v>
      </c>
      <c r="D11" s="66" t="s">
        <v>18</v>
      </c>
      <c r="E11" s="40" t="s">
        <v>1234</v>
      </c>
      <c r="F11" s="22">
        <v>4750</v>
      </c>
      <c r="G11" s="22">
        <v>30000</v>
      </c>
      <c r="H11" s="23">
        <v>4750</v>
      </c>
      <c r="I11" s="22">
        <f>G11-H11</f>
        <v>25250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1169</v>
      </c>
      <c r="C12" s="28" t="s">
        <v>1235</v>
      </c>
      <c r="D12" s="66" t="s">
        <v>1236</v>
      </c>
      <c r="E12" s="40" t="s">
        <v>1237</v>
      </c>
      <c r="F12" s="22">
        <v>446.4</v>
      </c>
      <c r="G12" s="42">
        <v>22</v>
      </c>
      <c r="H12" s="23">
        <v>22</v>
      </c>
      <c r="I12" s="22">
        <f t="shared" si="0"/>
        <v>0</v>
      </c>
      <c r="J12" s="22" t="s">
        <v>23</v>
      </c>
      <c r="K12" s="24"/>
      <c r="L12" s="25"/>
    </row>
    <row r="13" spans="1:12" ht="15.75" x14ac:dyDescent="0.25">
      <c r="A13" s="20" t="s">
        <v>17</v>
      </c>
      <c r="B13" s="21" t="s">
        <v>1229</v>
      </c>
      <c r="C13" s="28" t="s">
        <v>870</v>
      </c>
      <c r="D13" s="66" t="s">
        <v>18</v>
      </c>
      <c r="E13" s="40" t="s">
        <v>342</v>
      </c>
      <c r="F13" s="22">
        <v>595</v>
      </c>
      <c r="G13" s="42">
        <v>10000</v>
      </c>
      <c r="H13" s="23">
        <f>1500+250+572</f>
        <v>2322</v>
      </c>
      <c r="I13" s="22">
        <f t="shared" si="0"/>
        <v>7678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1209</v>
      </c>
      <c r="C14" s="28" t="s">
        <v>417</v>
      </c>
      <c r="D14" s="29" t="s">
        <v>27</v>
      </c>
      <c r="E14" s="40" t="s">
        <v>1210</v>
      </c>
      <c r="F14" s="22">
        <v>12500</v>
      </c>
      <c r="G14" s="22">
        <v>26000</v>
      </c>
      <c r="H14" s="23">
        <f>8400+12500</f>
        <v>20900</v>
      </c>
      <c r="I14" s="22">
        <f>G14-H14</f>
        <v>5100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1238</v>
      </c>
      <c r="C15" s="28" t="s">
        <v>41</v>
      </c>
      <c r="D15" s="66" t="s">
        <v>1239</v>
      </c>
      <c r="E15" s="40" t="s">
        <v>1240</v>
      </c>
      <c r="F15" s="22">
        <v>22000</v>
      </c>
      <c r="G15" s="22">
        <v>40000</v>
      </c>
      <c r="H15" s="23">
        <v>22000</v>
      </c>
      <c r="I15" s="22">
        <f>G15-H15</f>
        <v>18000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1208</v>
      </c>
      <c r="C16" s="28" t="s">
        <v>15</v>
      </c>
      <c r="D16" s="66" t="s">
        <v>52</v>
      </c>
      <c r="E16" s="40" t="s">
        <v>722</v>
      </c>
      <c r="F16" s="22">
        <v>100</v>
      </c>
      <c r="G16" s="22">
        <v>2000</v>
      </c>
      <c r="H16" s="23">
        <f>620.6+641.7+100</f>
        <v>1362.3000000000002</v>
      </c>
      <c r="I16" s="22">
        <f t="shared" ref="I16:I22" si="1">G16-H16</f>
        <v>637.69999999999982</v>
      </c>
      <c r="J16" s="22" t="s">
        <v>16</v>
      </c>
      <c r="K16" s="24"/>
      <c r="L16" s="25"/>
    </row>
    <row r="17" spans="1:12" ht="15.75" x14ac:dyDescent="0.25">
      <c r="A17" s="20" t="s">
        <v>28</v>
      </c>
      <c r="B17" s="21" t="s">
        <v>1241</v>
      </c>
      <c r="C17" s="28" t="s">
        <v>79</v>
      </c>
      <c r="D17" s="66" t="s">
        <v>18</v>
      </c>
      <c r="E17" s="40" t="s">
        <v>1242</v>
      </c>
      <c r="F17" s="22">
        <v>6000</v>
      </c>
      <c r="G17" s="22">
        <v>100000</v>
      </c>
      <c r="H17" s="23">
        <v>6000</v>
      </c>
      <c r="I17" s="22">
        <f>G17-H17</f>
        <v>94000</v>
      </c>
      <c r="J17" s="22" t="s">
        <v>16</v>
      </c>
      <c r="K17" s="24"/>
      <c r="L17" s="25"/>
    </row>
    <row r="18" spans="1:12" ht="15.75" x14ac:dyDescent="0.25">
      <c r="A18" s="20" t="s">
        <v>1243</v>
      </c>
      <c r="B18" s="21" t="s">
        <v>1244</v>
      </c>
      <c r="C18" s="28" t="s">
        <v>137</v>
      </c>
      <c r="D18" s="66" t="s">
        <v>35</v>
      </c>
      <c r="E18" s="40" t="s">
        <v>331</v>
      </c>
      <c r="F18" s="22">
        <v>56.8</v>
      </c>
      <c r="G18" s="22">
        <v>180</v>
      </c>
      <c r="H18" s="23">
        <v>56.8</v>
      </c>
      <c r="I18" s="22">
        <f>G18-H18</f>
        <v>123.2</v>
      </c>
      <c r="J18" s="22" t="s">
        <v>16</v>
      </c>
      <c r="K18" s="24"/>
      <c r="L18" s="25"/>
    </row>
    <row r="19" spans="1:12" ht="15.75" x14ac:dyDescent="0.25">
      <c r="A19" s="20" t="s">
        <v>1243</v>
      </c>
      <c r="B19" s="21" t="s">
        <v>1245</v>
      </c>
      <c r="C19" s="28" t="s">
        <v>1246</v>
      </c>
      <c r="D19" s="66" t="s">
        <v>35</v>
      </c>
      <c r="E19" s="40" t="s">
        <v>1247</v>
      </c>
      <c r="F19" s="22">
        <v>118.1</v>
      </c>
      <c r="G19" s="22">
        <v>120</v>
      </c>
      <c r="H19" s="23">
        <v>118.1</v>
      </c>
      <c r="I19" s="22">
        <f>G19-H19</f>
        <v>1.9000000000000057</v>
      </c>
      <c r="J19" s="22" t="s">
        <v>23</v>
      </c>
      <c r="K19" s="24"/>
      <c r="L19" s="25"/>
    </row>
    <row r="20" spans="1:12" ht="15.75" x14ac:dyDescent="0.25">
      <c r="A20" s="20" t="s">
        <v>30</v>
      </c>
      <c r="B20" s="21" t="s">
        <v>671</v>
      </c>
      <c r="C20" s="28" t="s">
        <v>672</v>
      </c>
      <c r="D20" s="66" t="s">
        <v>1248</v>
      </c>
      <c r="E20" s="40" t="s">
        <v>674</v>
      </c>
      <c r="F20" s="22">
        <v>7000</v>
      </c>
      <c r="G20" s="22">
        <v>7000</v>
      </c>
      <c r="H20" s="23">
        <v>7000</v>
      </c>
      <c r="I20" s="22">
        <f>G20-H20</f>
        <v>0</v>
      </c>
      <c r="J20" s="22" t="s">
        <v>23</v>
      </c>
      <c r="K20" s="24"/>
      <c r="L20" s="25"/>
    </row>
    <row r="21" spans="1:12" ht="15.75" x14ac:dyDescent="0.25">
      <c r="A21" s="20" t="s">
        <v>14</v>
      </c>
      <c r="B21" s="21" t="s">
        <v>1225</v>
      </c>
      <c r="C21" s="28" t="s">
        <v>15</v>
      </c>
      <c r="D21" s="66" t="s">
        <v>219</v>
      </c>
      <c r="E21" s="40" t="s">
        <v>220</v>
      </c>
      <c r="F21" s="22">
        <v>3500</v>
      </c>
      <c r="G21" s="22">
        <v>30000</v>
      </c>
      <c r="H21" s="23">
        <f>7000+3500</f>
        <v>10500</v>
      </c>
      <c r="I21" s="22">
        <f t="shared" si="1"/>
        <v>19500</v>
      </c>
      <c r="J21" s="22" t="s">
        <v>16</v>
      </c>
      <c r="K21" s="24"/>
      <c r="L21" s="25"/>
    </row>
    <row r="22" spans="1:12" ht="15.75" x14ac:dyDescent="0.25">
      <c r="A22" s="20" t="s">
        <v>17</v>
      </c>
      <c r="B22" s="21" t="s">
        <v>1154</v>
      </c>
      <c r="C22" s="28" t="s">
        <v>1206</v>
      </c>
      <c r="D22" s="66" t="s">
        <v>18</v>
      </c>
      <c r="E22" s="40" t="s">
        <v>33</v>
      </c>
      <c r="F22" s="22">
        <v>1650</v>
      </c>
      <c r="G22" s="22">
        <v>15000</v>
      </c>
      <c r="H22" s="23">
        <f>7300+3650+1650</f>
        <v>12600</v>
      </c>
      <c r="I22" s="22">
        <f t="shared" si="1"/>
        <v>2400</v>
      </c>
      <c r="J22" s="22" t="s">
        <v>16</v>
      </c>
      <c r="K22" s="24"/>
      <c r="L22" s="25"/>
    </row>
    <row r="23" spans="1:12" ht="15.75" x14ac:dyDescent="0.25">
      <c r="A23" s="20" t="s">
        <v>19</v>
      </c>
      <c r="B23" s="21" t="s">
        <v>1222</v>
      </c>
      <c r="C23" s="28" t="s">
        <v>15</v>
      </c>
      <c r="D23" s="66" t="s">
        <v>53</v>
      </c>
      <c r="E23" s="40" t="s">
        <v>55</v>
      </c>
      <c r="F23" s="22">
        <v>5850</v>
      </c>
      <c r="G23" s="22">
        <v>50000</v>
      </c>
      <c r="H23" s="23">
        <f>39000+5850</f>
        <v>44850</v>
      </c>
      <c r="I23" s="22">
        <f>G23-H23</f>
        <v>5150</v>
      </c>
      <c r="J23" s="22" t="s">
        <v>16</v>
      </c>
      <c r="K23" s="24"/>
      <c r="L23" s="25"/>
    </row>
    <row r="24" spans="1:12" ht="15.75" x14ac:dyDescent="0.25">
      <c r="A24" s="43" t="s">
        <v>1223</v>
      </c>
      <c r="B24" s="44" t="s">
        <v>1224</v>
      </c>
      <c r="C24" s="45" t="s">
        <v>923</v>
      </c>
      <c r="D24" s="67" t="s">
        <v>18</v>
      </c>
      <c r="E24" s="47" t="s">
        <v>328</v>
      </c>
      <c r="F24" s="48">
        <v>11000</v>
      </c>
      <c r="G24" s="62">
        <v>20000</v>
      </c>
      <c r="H24" s="49">
        <f>9000+11000</f>
        <v>20000</v>
      </c>
      <c r="I24" s="48">
        <f>G24-H24</f>
        <v>0</v>
      </c>
      <c r="J24" s="48" t="s">
        <v>23</v>
      </c>
      <c r="K24" s="50"/>
      <c r="L24" s="51"/>
    </row>
    <row r="25" spans="1:12" ht="16.5" thickBot="1" x14ac:dyDescent="0.3">
      <c r="A25" s="30"/>
      <c r="B25" s="31"/>
      <c r="C25" s="32"/>
      <c r="D25" s="68"/>
      <c r="E25" s="41"/>
      <c r="F25" s="34"/>
      <c r="G25" s="34"/>
      <c r="H25" s="35"/>
      <c r="I25" s="34"/>
      <c r="J25" s="34" t="s">
        <v>64</v>
      </c>
      <c r="K25" s="36"/>
      <c r="L25" s="37"/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L28"/>
  <sheetViews>
    <sheetView workbookViewId="0">
      <pane xSplit="3" topLeftCell="F1" activePane="topRight" state="frozen"/>
      <selection pane="topRight" activeCell="K27" sqref="K2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30</v>
      </c>
      <c r="B4" s="15" t="s">
        <v>1212</v>
      </c>
      <c r="C4" s="26" t="s">
        <v>1213</v>
      </c>
      <c r="D4" s="65" t="s">
        <v>1214</v>
      </c>
      <c r="E4" s="39" t="s">
        <v>1215</v>
      </c>
      <c r="F4" s="16">
        <v>32000</v>
      </c>
      <c r="G4" s="16">
        <v>100000</v>
      </c>
      <c r="H4" s="17">
        <f>22000+28000+32000</f>
        <v>82000</v>
      </c>
      <c r="I4" s="16">
        <f t="shared" ref="I4:I14" si="0">G4-H4</f>
        <v>18000</v>
      </c>
      <c r="J4" s="16" t="s">
        <v>16</v>
      </c>
      <c r="K4" s="18"/>
      <c r="L4" s="19"/>
    </row>
    <row r="5" spans="1:12" ht="15.75" x14ac:dyDescent="0.25">
      <c r="A5" s="20" t="s">
        <v>20</v>
      </c>
      <c r="B5" s="21" t="s">
        <v>1226</v>
      </c>
      <c r="C5" s="28" t="s">
        <v>1227</v>
      </c>
      <c r="D5" s="66" t="s">
        <v>18</v>
      </c>
      <c r="E5" s="40" t="s">
        <v>1228</v>
      </c>
      <c r="F5" s="22">
        <v>1952</v>
      </c>
      <c r="G5" s="42">
        <v>12000</v>
      </c>
      <c r="H5" s="23">
        <f>15200+1952</f>
        <v>17152</v>
      </c>
      <c r="I5" s="22">
        <f t="shared" si="0"/>
        <v>-5152</v>
      </c>
      <c r="J5" s="22" t="s">
        <v>24</v>
      </c>
      <c r="K5" s="24"/>
      <c r="L5" s="25"/>
    </row>
    <row r="6" spans="1:12" ht="15.75" x14ac:dyDescent="0.25">
      <c r="A6" s="20" t="s">
        <v>22</v>
      </c>
      <c r="B6" s="21" t="s">
        <v>1216</v>
      </c>
      <c r="C6" s="28" t="s">
        <v>1217</v>
      </c>
      <c r="D6" s="66" t="s">
        <v>1218</v>
      </c>
      <c r="E6" s="40" t="s">
        <v>38</v>
      </c>
      <c r="F6" s="22">
        <v>402.5</v>
      </c>
      <c r="G6" s="42">
        <v>1000</v>
      </c>
      <c r="H6" s="23">
        <f>321.9+120+402.5</f>
        <v>844.4</v>
      </c>
      <c r="I6" s="22">
        <f t="shared" si="0"/>
        <v>155.60000000000002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1190</v>
      </c>
      <c r="C7" s="28" t="s">
        <v>1217</v>
      </c>
      <c r="D7" s="66" t="s">
        <v>1255</v>
      </c>
      <c r="E7" s="40" t="s">
        <v>38</v>
      </c>
      <c r="F7" s="22">
        <v>287.89999999999998</v>
      </c>
      <c r="G7" s="42">
        <v>1000</v>
      </c>
      <c r="H7" s="23">
        <v>287.89999999999998</v>
      </c>
      <c r="I7" s="22">
        <f>G7-H7</f>
        <v>712.1</v>
      </c>
      <c r="J7" s="22" t="s">
        <v>16</v>
      </c>
      <c r="K7" s="24"/>
      <c r="L7" s="25"/>
    </row>
    <row r="8" spans="1:12" ht="15.75" x14ac:dyDescent="0.25">
      <c r="A8" s="20" t="s">
        <v>17</v>
      </c>
      <c r="B8" s="21" t="s">
        <v>1249</v>
      </c>
      <c r="C8" s="28" t="s">
        <v>870</v>
      </c>
      <c r="D8" s="66" t="s">
        <v>18</v>
      </c>
      <c r="E8" s="40" t="s">
        <v>1250</v>
      </c>
      <c r="F8" s="22">
        <v>815</v>
      </c>
      <c r="G8" s="22">
        <v>800</v>
      </c>
      <c r="H8" s="23">
        <v>815</v>
      </c>
      <c r="I8" s="22">
        <f>G8-H8</f>
        <v>-15</v>
      </c>
      <c r="J8" s="22" t="s">
        <v>24</v>
      </c>
      <c r="K8" s="24"/>
      <c r="L8" s="25"/>
    </row>
    <row r="9" spans="1:12" ht="15.75" x14ac:dyDescent="0.25">
      <c r="A9" s="20" t="s">
        <v>22</v>
      </c>
      <c r="B9" s="21" t="s">
        <v>1230</v>
      </c>
      <c r="C9" s="28" t="s">
        <v>187</v>
      </c>
      <c r="D9" s="66" t="s">
        <v>211</v>
      </c>
      <c r="E9" s="40" t="s">
        <v>46</v>
      </c>
      <c r="F9" s="22">
        <v>254.2</v>
      </c>
      <c r="G9" s="42">
        <v>400</v>
      </c>
      <c r="H9" s="23">
        <f>103.5+254.2</f>
        <v>357.7</v>
      </c>
      <c r="I9" s="22">
        <f t="shared" si="0"/>
        <v>42.300000000000011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1251</v>
      </c>
      <c r="C10" s="28" t="s">
        <v>61</v>
      </c>
      <c r="D10" s="66" t="s">
        <v>211</v>
      </c>
      <c r="E10" s="40" t="s">
        <v>46</v>
      </c>
      <c r="F10" s="22">
        <v>254.2</v>
      </c>
      <c r="G10" s="22">
        <v>400</v>
      </c>
      <c r="H10" s="23">
        <v>254.2</v>
      </c>
      <c r="I10" s="22">
        <f t="shared" si="0"/>
        <v>145.80000000000001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1232</v>
      </c>
      <c r="C11" s="28" t="s">
        <v>29</v>
      </c>
      <c r="D11" s="29" t="s">
        <v>18</v>
      </c>
      <c r="E11" s="40" t="s">
        <v>517</v>
      </c>
      <c r="F11" s="22">
        <v>25000</v>
      </c>
      <c r="G11" s="42">
        <v>40000</v>
      </c>
      <c r="H11" s="23">
        <f>12000+25000</f>
        <v>37000</v>
      </c>
      <c r="I11" s="22">
        <f t="shared" si="0"/>
        <v>3000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1233</v>
      </c>
      <c r="C12" s="28" t="s">
        <v>15</v>
      </c>
      <c r="D12" s="66" t="s">
        <v>18</v>
      </c>
      <c r="E12" s="40" t="s">
        <v>1234</v>
      </c>
      <c r="F12" s="22">
        <v>2390</v>
      </c>
      <c r="G12" s="22">
        <v>30000</v>
      </c>
      <c r="H12" s="23">
        <f>4750+2390</f>
        <v>7140</v>
      </c>
      <c r="I12" s="22">
        <f>G12-H12</f>
        <v>22860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1252</v>
      </c>
      <c r="C13" s="28" t="s">
        <v>1253</v>
      </c>
      <c r="D13" s="66" t="s">
        <v>18</v>
      </c>
      <c r="E13" s="40" t="s">
        <v>1254</v>
      </c>
      <c r="F13" s="22">
        <v>10000</v>
      </c>
      <c r="G13" s="42">
        <v>10000</v>
      </c>
      <c r="H13" s="23">
        <v>10000</v>
      </c>
      <c r="I13" s="22">
        <f t="shared" si="0"/>
        <v>0</v>
      </c>
      <c r="J13" s="22" t="s">
        <v>23</v>
      </c>
      <c r="K13" s="24"/>
      <c r="L13" s="25"/>
    </row>
    <row r="14" spans="1:12" ht="15.75" x14ac:dyDescent="0.25">
      <c r="A14" s="20" t="s">
        <v>228</v>
      </c>
      <c r="B14" s="21" t="s">
        <v>1256</v>
      </c>
      <c r="C14" s="28" t="s">
        <v>79</v>
      </c>
      <c r="D14" s="66" t="s">
        <v>18</v>
      </c>
      <c r="E14" s="40" t="s">
        <v>1257</v>
      </c>
      <c r="F14" s="22">
        <v>19320</v>
      </c>
      <c r="G14" s="42">
        <v>20000</v>
      </c>
      <c r="H14" s="23">
        <v>19320</v>
      </c>
      <c r="I14" s="22">
        <f t="shared" si="0"/>
        <v>680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1089</v>
      </c>
      <c r="C15" s="28" t="s">
        <v>15</v>
      </c>
      <c r="D15" s="29" t="s">
        <v>18</v>
      </c>
      <c r="E15" s="40" t="s">
        <v>230</v>
      </c>
      <c r="F15" s="22">
        <v>24000</v>
      </c>
      <c r="G15" s="22">
        <v>50000</v>
      </c>
      <c r="H15" s="23">
        <v>24000</v>
      </c>
      <c r="I15" s="22">
        <f>G15-H15</f>
        <v>26000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1238</v>
      </c>
      <c r="C16" s="28" t="s">
        <v>41</v>
      </c>
      <c r="D16" s="66" t="s">
        <v>1239</v>
      </c>
      <c r="E16" s="40" t="s">
        <v>1240</v>
      </c>
      <c r="F16" s="22">
        <v>9000</v>
      </c>
      <c r="G16" s="22">
        <v>40000</v>
      </c>
      <c r="H16" s="23">
        <f>22000+9000</f>
        <v>31000</v>
      </c>
      <c r="I16" s="22">
        <f>G16-H16</f>
        <v>9000</v>
      </c>
      <c r="J16" s="22" t="s">
        <v>16</v>
      </c>
      <c r="K16" s="24"/>
      <c r="L16" s="25"/>
    </row>
    <row r="17" spans="1:12" ht="15.75" x14ac:dyDescent="0.25">
      <c r="A17" s="20" t="s">
        <v>22</v>
      </c>
      <c r="B17" s="21" t="s">
        <v>1258</v>
      </c>
      <c r="C17" s="28" t="s">
        <v>204</v>
      </c>
      <c r="D17" s="29" t="s">
        <v>1087</v>
      </c>
      <c r="E17" s="40" t="s">
        <v>206</v>
      </c>
      <c r="F17" s="22">
        <v>206.4</v>
      </c>
      <c r="G17" s="42">
        <v>3000</v>
      </c>
      <c r="H17" s="23">
        <v>206.4</v>
      </c>
      <c r="I17" s="22">
        <f t="shared" ref="I17" si="1">G17-H17</f>
        <v>2793.6</v>
      </c>
      <c r="J17" s="22" t="s">
        <v>16</v>
      </c>
      <c r="K17" s="24"/>
      <c r="L17" s="25"/>
    </row>
    <row r="18" spans="1:12" ht="15.75" x14ac:dyDescent="0.25">
      <c r="A18" s="20" t="s">
        <v>28</v>
      </c>
      <c r="B18" s="21" t="s">
        <v>1241</v>
      </c>
      <c r="C18" s="28" t="s">
        <v>79</v>
      </c>
      <c r="D18" s="66" t="s">
        <v>18</v>
      </c>
      <c r="E18" s="40" t="s">
        <v>1242</v>
      </c>
      <c r="F18" s="22">
        <v>3255</v>
      </c>
      <c r="G18" s="22">
        <v>100000</v>
      </c>
      <c r="H18" s="23">
        <f>6000+3255</f>
        <v>9255</v>
      </c>
      <c r="I18" s="22">
        <f>G18-H18</f>
        <v>90745</v>
      </c>
      <c r="J18" s="22" t="s">
        <v>16</v>
      </c>
      <c r="K18" s="24"/>
      <c r="L18" s="25"/>
    </row>
    <row r="19" spans="1:12" ht="15.75" x14ac:dyDescent="0.25">
      <c r="A19" s="20" t="s">
        <v>1243</v>
      </c>
      <c r="B19" s="21" t="s">
        <v>1244</v>
      </c>
      <c r="C19" s="28" t="s">
        <v>137</v>
      </c>
      <c r="D19" s="66" t="s">
        <v>35</v>
      </c>
      <c r="E19" s="40" t="s">
        <v>331</v>
      </c>
      <c r="F19" s="22">
        <v>125</v>
      </c>
      <c r="G19" s="22">
        <v>180</v>
      </c>
      <c r="H19" s="23">
        <f>56.8+125</f>
        <v>181.8</v>
      </c>
      <c r="I19" s="22">
        <f>G19-H19</f>
        <v>-1.8000000000000114</v>
      </c>
      <c r="J19" s="22" t="s">
        <v>23</v>
      </c>
      <c r="K19" s="24"/>
      <c r="L19" s="25"/>
    </row>
    <row r="20" spans="1:12" ht="15.75" x14ac:dyDescent="0.25">
      <c r="A20" s="20" t="s">
        <v>25</v>
      </c>
      <c r="B20" s="21" t="s">
        <v>1259</v>
      </c>
      <c r="C20" s="28" t="s">
        <v>151</v>
      </c>
      <c r="D20" s="66" t="s">
        <v>240</v>
      </c>
      <c r="E20" s="40" t="s">
        <v>1260</v>
      </c>
      <c r="F20" s="22">
        <v>527.04999999999995</v>
      </c>
      <c r="G20" s="22">
        <v>30000</v>
      </c>
      <c r="H20" s="23">
        <v>527.04999999999995</v>
      </c>
      <c r="I20" s="22">
        <f>G20-H20</f>
        <v>29472.95</v>
      </c>
      <c r="J20" s="22" t="s">
        <v>16</v>
      </c>
      <c r="K20" s="24"/>
      <c r="L20" s="25"/>
    </row>
    <row r="21" spans="1:12" ht="15.75" x14ac:dyDescent="0.25">
      <c r="A21" s="20" t="s">
        <v>17</v>
      </c>
      <c r="B21" s="21" t="s">
        <v>1170</v>
      </c>
      <c r="C21" s="28" t="s">
        <v>1261</v>
      </c>
      <c r="D21" s="66" t="s">
        <v>18</v>
      </c>
      <c r="E21" s="40" t="s">
        <v>315</v>
      </c>
      <c r="F21" s="22">
        <v>927</v>
      </c>
      <c r="G21" s="22">
        <v>5000</v>
      </c>
      <c r="H21" s="23">
        <v>5313</v>
      </c>
      <c r="I21" s="22">
        <f>G21-H21</f>
        <v>-313</v>
      </c>
      <c r="J21" s="22" t="s">
        <v>24</v>
      </c>
      <c r="K21" s="24"/>
      <c r="L21" s="25"/>
    </row>
    <row r="22" spans="1:12" ht="15.75" x14ac:dyDescent="0.25">
      <c r="A22" s="20" t="s">
        <v>14</v>
      </c>
      <c r="B22" s="21" t="s">
        <v>1225</v>
      </c>
      <c r="C22" s="28" t="s">
        <v>15</v>
      </c>
      <c r="D22" s="66" t="s">
        <v>219</v>
      </c>
      <c r="E22" s="40" t="s">
        <v>220</v>
      </c>
      <c r="F22" s="22">
        <v>5500</v>
      </c>
      <c r="G22" s="22">
        <v>30000</v>
      </c>
      <c r="H22" s="23">
        <f>7000+3500+5500</f>
        <v>16000</v>
      </c>
      <c r="I22" s="22">
        <f t="shared" ref="I22" si="2">G22-H22</f>
        <v>14000</v>
      </c>
      <c r="J22" s="22" t="s">
        <v>16</v>
      </c>
      <c r="K22" s="24"/>
      <c r="L22" s="25"/>
    </row>
    <row r="23" spans="1:12" ht="15.75" x14ac:dyDescent="0.25">
      <c r="A23" s="20" t="s">
        <v>28</v>
      </c>
      <c r="B23" s="21" t="s">
        <v>1163</v>
      </c>
      <c r="C23" s="28" t="s">
        <v>15</v>
      </c>
      <c r="D23" s="66" t="s">
        <v>344</v>
      </c>
      <c r="E23" s="40" t="s">
        <v>466</v>
      </c>
      <c r="F23" s="22">
        <v>12000</v>
      </c>
      <c r="G23" s="22">
        <v>30000</v>
      </c>
      <c r="H23" s="23">
        <v>12000</v>
      </c>
      <c r="I23" s="22">
        <f>G23-H23</f>
        <v>18000</v>
      </c>
      <c r="J23" s="22" t="s">
        <v>16</v>
      </c>
      <c r="K23" s="24"/>
      <c r="L23" s="25"/>
    </row>
    <row r="24" spans="1:12" ht="15.75" x14ac:dyDescent="0.25">
      <c r="A24" s="20" t="s">
        <v>228</v>
      </c>
      <c r="B24" s="21" t="s">
        <v>1273</v>
      </c>
      <c r="C24" s="28" t="s">
        <v>833</v>
      </c>
      <c r="D24" s="66" t="s">
        <v>27</v>
      </c>
      <c r="E24" s="40" t="s">
        <v>834</v>
      </c>
      <c r="F24" s="22">
        <v>2660</v>
      </c>
      <c r="G24" s="22">
        <v>38620</v>
      </c>
      <c r="H24" s="23">
        <v>2660</v>
      </c>
      <c r="I24" s="22">
        <f>G24-H24</f>
        <v>35960</v>
      </c>
      <c r="J24" s="22" t="s">
        <v>16</v>
      </c>
      <c r="K24" s="24"/>
      <c r="L24" s="25"/>
    </row>
    <row r="25" spans="1:12" ht="15.75" x14ac:dyDescent="0.25">
      <c r="A25" s="20" t="s">
        <v>82</v>
      </c>
      <c r="B25" s="21" t="s">
        <v>1024</v>
      </c>
      <c r="C25" s="28" t="s">
        <v>15</v>
      </c>
      <c r="D25" s="29" t="s">
        <v>91</v>
      </c>
      <c r="E25" s="40" t="s">
        <v>81</v>
      </c>
      <c r="F25" s="22">
        <v>125</v>
      </c>
      <c r="G25" s="22">
        <v>2000</v>
      </c>
      <c r="H25" s="23">
        <f>1455+305+60+125+125</f>
        <v>2070</v>
      </c>
      <c r="I25" s="22">
        <f>G25-H25</f>
        <v>-70</v>
      </c>
      <c r="J25" s="70" t="s">
        <v>24</v>
      </c>
      <c r="K25" s="24"/>
      <c r="L25" s="25"/>
    </row>
    <row r="26" spans="1:12" ht="15.75" x14ac:dyDescent="0.25">
      <c r="A26" s="20" t="s">
        <v>21</v>
      </c>
      <c r="B26" s="21" t="s">
        <v>1263</v>
      </c>
      <c r="C26" s="28" t="s">
        <v>287</v>
      </c>
      <c r="D26" s="66" t="s">
        <v>288</v>
      </c>
      <c r="E26" s="40" t="s">
        <v>289</v>
      </c>
      <c r="F26" s="22">
        <v>28000</v>
      </c>
      <c r="G26" s="22">
        <v>53000</v>
      </c>
      <c r="H26" s="23">
        <v>28000</v>
      </c>
      <c r="I26" s="22">
        <f>G26-H26</f>
        <v>25000</v>
      </c>
      <c r="J26" s="22" t="s">
        <v>16</v>
      </c>
      <c r="K26" s="24"/>
      <c r="L26" s="25"/>
    </row>
    <row r="27" spans="1:12" ht="15.75" x14ac:dyDescent="0.25">
      <c r="A27" s="43" t="s">
        <v>14</v>
      </c>
      <c r="B27" s="44" t="s">
        <v>1262</v>
      </c>
      <c r="C27" s="45" t="s">
        <v>795</v>
      </c>
      <c r="D27" s="67" t="s">
        <v>18</v>
      </c>
      <c r="E27" s="47" t="s">
        <v>796</v>
      </c>
      <c r="F27" s="48">
        <v>800</v>
      </c>
      <c r="G27" s="62">
        <v>3000</v>
      </c>
      <c r="H27" s="49">
        <v>800</v>
      </c>
      <c r="I27" s="48">
        <f>G27-H27</f>
        <v>2200</v>
      </c>
      <c r="J27" s="48" t="s">
        <v>16</v>
      </c>
      <c r="K27" s="50"/>
      <c r="L27" s="51"/>
    </row>
    <row r="28" spans="1:12" ht="16.5" thickBot="1" x14ac:dyDescent="0.3">
      <c r="A28" s="30"/>
      <c r="B28" s="31"/>
      <c r="C28" s="32"/>
      <c r="D28" s="68"/>
      <c r="E28" s="41"/>
      <c r="F28" s="34"/>
      <c r="G28" s="34"/>
      <c r="H28" s="35"/>
      <c r="I28" s="34"/>
      <c r="J28" s="34" t="s">
        <v>64</v>
      </c>
      <c r="K28" s="36"/>
      <c r="L28" s="37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L28"/>
  <sheetViews>
    <sheetView workbookViewId="0">
      <pane xSplit="3" topLeftCell="D1" activePane="topRight" state="frozen"/>
      <selection pane="topRight" activeCell="A4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30</v>
      </c>
      <c r="B4" s="15" t="s">
        <v>1212</v>
      </c>
      <c r="C4" s="26" t="s">
        <v>1213</v>
      </c>
      <c r="D4" s="65" t="s">
        <v>1214</v>
      </c>
      <c r="E4" s="39" t="s">
        <v>1215</v>
      </c>
      <c r="F4" s="16">
        <v>1000</v>
      </c>
      <c r="G4" s="16">
        <v>100000</v>
      </c>
      <c r="H4" s="17">
        <f>22000+28000+32000+1000</f>
        <v>83000</v>
      </c>
      <c r="I4" s="16">
        <f t="shared" ref="I4:I14" si="0">G4-H4</f>
        <v>17000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1219</v>
      </c>
      <c r="C5" s="28" t="s">
        <v>833</v>
      </c>
      <c r="D5" s="66" t="s">
        <v>48</v>
      </c>
      <c r="E5" s="40" t="s">
        <v>834</v>
      </c>
      <c r="F5" s="22">
        <v>14560</v>
      </c>
      <c r="G5" s="42">
        <v>38620</v>
      </c>
      <c r="H5" s="23">
        <v>14560</v>
      </c>
      <c r="I5" s="22">
        <f t="shared" si="0"/>
        <v>24060</v>
      </c>
      <c r="J5" s="22" t="s">
        <v>16</v>
      </c>
      <c r="K5" s="24"/>
      <c r="L5" s="25"/>
    </row>
    <row r="6" spans="1:12" ht="15.75" x14ac:dyDescent="0.25">
      <c r="A6" s="20" t="s">
        <v>20</v>
      </c>
      <c r="B6" s="21" t="s">
        <v>1195</v>
      </c>
      <c r="C6" s="28" t="s">
        <v>34</v>
      </c>
      <c r="D6" s="29" t="s">
        <v>18</v>
      </c>
      <c r="E6" s="40" t="s">
        <v>1196</v>
      </c>
      <c r="F6" s="22">
        <f>10000+13500</f>
        <v>23500</v>
      </c>
      <c r="G6" s="42">
        <v>100000</v>
      </c>
      <c r="H6" s="23">
        <f>10000+26250+1920+23500</f>
        <v>61670</v>
      </c>
      <c r="I6" s="22">
        <f>G6-H6</f>
        <v>38330</v>
      </c>
      <c r="J6" s="22" t="s">
        <v>16</v>
      </c>
      <c r="K6" s="24"/>
      <c r="L6" s="25"/>
    </row>
    <row r="7" spans="1:12" ht="15.75" x14ac:dyDescent="0.25">
      <c r="A7" s="20" t="s">
        <v>44</v>
      </c>
      <c r="B7" s="21" t="s">
        <v>1266</v>
      </c>
      <c r="C7" s="28" t="s">
        <v>15</v>
      </c>
      <c r="D7" s="66" t="s">
        <v>47</v>
      </c>
      <c r="E7" s="40" t="s">
        <v>45</v>
      </c>
      <c r="F7" s="22">
        <v>34000</v>
      </c>
      <c r="G7" s="42">
        <v>500000</v>
      </c>
      <c r="H7" s="23">
        <v>44000</v>
      </c>
      <c r="I7" s="22">
        <f>G7-H7</f>
        <v>456000</v>
      </c>
      <c r="J7" s="22" t="s">
        <v>16</v>
      </c>
      <c r="K7" s="24"/>
      <c r="L7" s="25"/>
    </row>
    <row r="8" spans="1:12" ht="15.75" x14ac:dyDescent="0.25">
      <c r="A8" s="20" t="s">
        <v>40</v>
      </c>
      <c r="B8" s="21" t="s">
        <v>1144</v>
      </c>
      <c r="C8" s="28" t="s">
        <v>62</v>
      </c>
      <c r="D8" s="66" t="s">
        <v>54</v>
      </c>
      <c r="E8" s="40" t="s">
        <v>1267</v>
      </c>
      <c r="F8" s="22">
        <v>28000</v>
      </c>
      <c r="G8" s="22">
        <v>300000</v>
      </c>
      <c r="H8" s="23">
        <v>152000</v>
      </c>
      <c r="I8" s="22">
        <f>G8-H8</f>
        <v>148000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1230</v>
      </c>
      <c r="C9" s="28" t="s">
        <v>187</v>
      </c>
      <c r="D9" s="66" t="s">
        <v>211</v>
      </c>
      <c r="E9" s="40" t="s">
        <v>46</v>
      </c>
      <c r="F9" s="22">
        <v>123.4</v>
      </c>
      <c r="G9" s="42">
        <v>400</v>
      </c>
      <c r="H9" s="23">
        <f>103.5+254.2+123.4</f>
        <v>481.1</v>
      </c>
      <c r="I9" s="22">
        <f t="shared" si="0"/>
        <v>-81.100000000000023</v>
      </c>
      <c r="J9" s="22" t="s">
        <v>23</v>
      </c>
      <c r="K9" s="24"/>
      <c r="L9" s="25"/>
    </row>
    <row r="10" spans="1:12" ht="15.75" x14ac:dyDescent="0.25">
      <c r="A10" s="20" t="s">
        <v>19</v>
      </c>
      <c r="B10" s="21" t="s">
        <v>1264</v>
      </c>
      <c r="C10" s="28" t="s">
        <v>29</v>
      </c>
      <c r="D10" s="66" t="s">
        <v>18</v>
      </c>
      <c r="E10" s="40" t="s">
        <v>517</v>
      </c>
      <c r="F10" s="22">
        <v>13000</v>
      </c>
      <c r="G10" s="22">
        <v>20000</v>
      </c>
      <c r="H10" s="23">
        <v>13000</v>
      </c>
      <c r="I10" s="22">
        <f t="shared" si="0"/>
        <v>7000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1232</v>
      </c>
      <c r="C11" s="28" t="s">
        <v>29</v>
      </c>
      <c r="D11" s="29" t="s">
        <v>18</v>
      </c>
      <c r="E11" s="40" t="s">
        <v>517</v>
      </c>
      <c r="F11" s="22">
        <v>3000</v>
      </c>
      <c r="G11" s="42">
        <v>40000</v>
      </c>
      <c r="H11" s="23">
        <f>12000+25000+3000</f>
        <v>40000</v>
      </c>
      <c r="I11" s="22">
        <f t="shared" si="0"/>
        <v>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1089</v>
      </c>
      <c r="C12" s="28" t="s">
        <v>15</v>
      </c>
      <c r="D12" s="66" t="s">
        <v>18</v>
      </c>
      <c r="E12" s="40" t="s">
        <v>517</v>
      </c>
      <c r="F12" s="22">
        <v>13000</v>
      </c>
      <c r="G12" s="22">
        <v>50000</v>
      </c>
      <c r="H12" s="23">
        <v>13000</v>
      </c>
      <c r="I12" s="22">
        <f>G12-H12</f>
        <v>37000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1224</v>
      </c>
      <c r="C13" s="28" t="s">
        <v>327</v>
      </c>
      <c r="D13" s="66" t="s">
        <v>18</v>
      </c>
      <c r="E13" s="40" t="s">
        <v>328</v>
      </c>
      <c r="F13" s="22">
        <v>2867</v>
      </c>
      <c r="G13" s="42">
        <v>20000</v>
      </c>
      <c r="H13" s="23">
        <v>4867</v>
      </c>
      <c r="I13" s="22">
        <f t="shared" si="0"/>
        <v>15133</v>
      </c>
      <c r="J13" s="22" t="s">
        <v>23</v>
      </c>
      <c r="K13" s="24"/>
      <c r="L13" s="25"/>
    </row>
    <row r="14" spans="1:12" ht="15.75" x14ac:dyDescent="0.25">
      <c r="A14" s="20" t="s">
        <v>20</v>
      </c>
      <c r="B14" s="21" t="s">
        <v>1262</v>
      </c>
      <c r="C14" s="28" t="s">
        <v>1265</v>
      </c>
      <c r="D14" s="66" t="s">
        <v>18</v>
      </c>
      <c r="E14" s="40" t="s">
        <v>796</v>
      </c>
      <c r="F14" s="22">
        <v>1271</v>
      </c>
      <c r="G14" s="42">
        <v>3000</v>
      </c>
      <c r="H14" s="23">
        <f>800+1271</f>
        <v>2071</v>
      </c>
      <c r="I14" s="22">
        <f t="shared" si="0"/>
        <v>929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1089</v>
      </c>
      <c r="C15" s="28" t="s">
        <v>15</v>
      </c>
      <c r="D15" s="29" t="s">
        <v>18</v>
      </c>
      <c r="E15" s="40" t="s">
        <v>230</v>
      </c>
      <c r="F15" s="22">
        <v>2000</v>
      </c>
      <c r="G15" s="22">
        <v>50000</v>
      </c>
      <c r="H15" s="23">
        <v>44000</v>
      </c>
      <c r="I15" s="22">
        <f>G15-H15</f>
        <v>6000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1268</v>
      </c>
      <c r="C16" s="28" t="s">
        <v>1048</v>
      </c>
      <c r="D16" s="66" t="s">
        <v>18</v>
      </c>
      <c r="E16" s="40" t="s">
        <v>887</v>
      </c>
      <c r="F16" s="22">
        <v>1830</v>
      </c>
      <c r="G16" s="22">
        <v>1700</v>
      </c>
      <c r="H16" s="23">
        <v>1830</v>
      </c>
      <c r="I16" s="22">
        <f>G16-H16</f>
        <v>-130</v>
      </c>
      <c r="J16" s="22" t="s">
        <v>24</v>
      </c>
      <c r="K16" s="24"/>
      <c r="L16" s="25"/>
    </row>
    <row r="17" spans="1:12" ht="15.75" x14ac:dyDescent="0.25">
      <c r="A17" s="20" t="s">
        <v>22</v>
      </c>
      <c r="B17" s="21" t="s">
        <v>1258</v>
      </c>
      <c r="C17" s="28" t="s">
        <v>204</v>
      </c>
      <c r="D17" s="29" t="s">
        <v>1087</v>
      </c>
      <c r="E17" s="40" t="s">
        <v>206</v>
      </c>
      <c r="F17" s="22">
        <f>534+231.6</f>
        <v>765.6</v>
      </c>
      <c r="G17" s="42">
        <v>3000</v>
      </c>
      <c r="H17" s="23">
        <f>206.4+534+231.6</f>
        <v>972</v>
      </c>
      <c r="I17" s="22">
        <f t="shared" ref="I17" si="1">G17-H17</f>
        <v>2028</v>
      </c>
      <c r="J17" s="22" t="s">
        <v>16</v>
      </c>
      <c r="K17" s="24"/>
      <c r="L17" s="25"/>
    </row>
    <row r="18" spans="1:12" ht="15.75" x14ac:dyDescent="0.25">
      <c r="A18" s="20" t="s">
        <v>228</v>
      </c>
      <c r="B18" s="21" t="s">
        <v>947</v>
      </c>
      <c r="C18" s="28" t="s">
        <v>422</v>
      </c>
      <c r="D18" s="66" t="s">
        <v>48</v>
      </c>
      <c r="E18" s="40" t="s">
        <v>49</v>
      </c>
      <c r="F18" s="22">
        <v>4000</v>
      </c>
      <c r="G18" s="22">
        <v>270000</v>
      </c>
      <c r="H18" s="23">
        <f>246000+4000</f>
        <v>250000</v>
      </c>
      <c r="I18" s="22">
        <f>G18-H18</f>
        <v>20000</v>
      </c>
      <c r="J18" s="22" t="s">
        <v>23</v>
      </c>
      <c r="K18" s="24"/>
      <c r="L18" s="25"/>
    </row>
    <row r="19" spans="1:12" ht="15.75" x14ac:dyDescent="0.25">
      <c r="A19" s="20" t="s">
        <v>25</v>
      </c>
      <c r="B19" s="21" t="s">
        <v>1259</v>
      </c>
      <c r="C19" s="28" t="s">
        <v>151</v>
      </c>
      <c r="D19" s="66" t="s">
        <v>240</v>
      </c>
      <c r="E19" s="40" t="s">
        <v>1260</v>
      </c>
      <c r="F19" s="22">
        <v>1271</v>
      </c>
      <c r="G19" s="22">
        <v>30000</v>
      </c>
      <c r="H19" s="23">
        <f>527.05+1271</f>
        <v>1798.05</v>
      </c>
      <c r="I19" s="22">
        <f>G19-H19</f>
        <v>28201.95</v>
      </c>
      <c r="J19" s="22" t="s">
        <v>16</v>
      </c>
      <c r="K19" s="24"/>
      <c r="L19" s="25"/>
    </row>
    <row r="20" spans="1:12" ht="15.75" x14ac:dyDescent="0.25">
      <c r="A20" s="20" t="s">
        <v>17</v>
      </c>
      <c r="B20" s="21" t="s">
        <v>1050</v>
      </c>
      <c r="C20" s="28" t="s">
        <v>32</v>
      </c>
      <c r="D20" s="66" t="s">
        <v>18</v>
      </c>
      <c r="E20" s="40" t="s">
        <v>776</v>
      </c>
      <c r="F20" s="22">
        <v>643</v>
      </c>
      <c r="G20" s="22">
        <v>10000</v>
      </c>
      <c r="H20" s="23">
        <v>643</v>
      </c>
      <c r="I20" s="22">
        <f>G20-H20</f>
        <v>9357</v>
      </c>
      <c r="J20" s="22" t="s">
        <v>16</v>
      </c>
      <c r="K20" s="24"/>
      <c r="L20" s="25"/>
    </row>
    <row r="21" spans="1:12" ht="15.75" x14ac:dyDescent="0.25">
      <c r="A21" s="20" t="s">
        <v>14</v>
      </c>
      <c r="B21" s="21" t="s">
        <v>1225</v>
      </c>
      <c r="C21" s="28" t="s">
        <v>15</v>
      </c>
      <c r="D21" s="66" t="s">
        <v>219</v>
      </c>
      <c r="E21" s="40" t="s">
        <v>220</v>
      </c>
      <c r="F21" s="22">
        <v>3500</v>
      </c>
      <c r="G21" s="22">
        <v>30000</v>
      </c>
      <c r="H21" s="23">
        <f>7000+3500+5500+3500</f>
        <v>19500</v>
      </c>
      <c r="I21" s="22">
        <f t="shared" ref="I21" si="2">G21-H21</f>
        <v>10500</v>
      </c>
      <c r="J21" s="22" t="s">
        <v>16</v>
      </c>
      <c r="K21" s="24"/>
      <c r="L21" s="25"/>
    </row>
    <row r="22" spans="1:12" ht="15.75" x14ac:dyDescent="0.25">
      <c r="A22" s="20" t="s">
        <v>28</v>
      </c>
      <c r="B22" s="21" t="s">
        <v>1163</v>
      </c>
      <c r="C22" s="28" t="s">
        <v>15</v>
      </c>
      <c r="D22" s="66" t="s">
        <v>344</v>
      </c>
      <c r="E22" s="40" t="s">
        <v>466</v>
      </c>
      <c r="F22" s="22">
        <v>36000</v>
      </c>
      <c r="G22" s="22">
        <v>300000</v>
      </c>
      <c r="H22" s="23">
        <v>144000</v>
      </c>
      <c r="I22" s="22">
        <f>G22-H22</f>
        <v>156000</v>
      </c>
      <c r="J22" s="22" t="s">
        <v>16</v>
      </c>
      <c r="K22" s="24"/>
      <c r="L22" s="25"/>
    </row>
    <row r="23" spans="1:12" ht="15.75" x14ac:dyDescent="0.25">
      <c r="A23" s="20" t="s">
        <v>82</v>
      </c>
      <c r="B23" s="21" t="s">
        <v>1024</v>
      </c>
      <c r="C23" s="28" t="s">
        <v>15</v>
      </c>
      <c r="D23" s="29" t="s">
        <v>91</v>
      </c>
      <c r="E23" s="40" t="s">
        <v>81</v>
      </c>
      <c r="F23" s="22">
        <v>110</v>
      </c>
      <c r="G23" s="22">
        <v>2000</v>
      </c>
      <c r="H23" s="23">
        <f>1455+305+60+125+125+110</f>
        <v>2180</v>
      </c>
      <c r="I23" s="22">
        <f>G23-H23</f>
        <v>-180</v>
      </c>
      <c r="J23" s="22" t="s">
        <v>24</v>
      </c>
      <c r="K23" s="24"/>
      <c r="L23" s="25"/>
    </row>
    <row r="24" spans="1:12" ht="15.75" x14ac:dyDescent="0.25">
      <c r="A24" s="20" t="s">
        <v>30</v>
      </c>
      <c r="B24" s="21" t="s">
        <v>1269</v>
      </c>
      <c r="C24" s="28" t="s">
        <v>1270</v>
      </c>
      <c r="D24" s="29" t="s">
        <v>1271</v>
      </c>
      <c r="E24" s="40" t="s">
        <v>1272</v>
      </c>
      <c r="F24" s="22">
        <v>5000</v>
      </c>
      <c r="G24" s="22">
        <v>70000</v>
      </c>
      <c r="H24" s="23">
        <v>63000</v>
      </c>
      <c r="I24" s="22">
        <f>G24-H24</f>
        <v>7000</v>
      </c>
      <c r="J24" s="22" t="s">
        <v>16</v>
      </c>
      <c r="K24" s="24"/>
      <c r="L24" s="25"/>
    </row>
    <row r="25" spans="1:12" ht="15.75" x14ac:dyDescent="0.25">
      <c r="A25" s="20" t="s">
        <v>21</v>
      </c>
      <c r="B25" s="21" t="s">
        <v>1263</v>
      </c>
      <c r="C25" s="28" t="s">
        <v>287</v>
      </c>
      <c r="D25" s="66" t="s">
        <v>288</v>
      </c>
      <c r="E25" s="40" t="s">
        <v>289</v>
      </c>
      <c r="F25" s="22">
        <v>23000</v>
      </c>
      <c r="G25" s="22">
        <v>50000</v>
      </c>
      <c r="H25" s="23">
        <f>28000+23000</f>
        <v>51000</v>
      </c>
      <c r="I25" s="22">
        <f>G25-H25</f>
        <v>-1000</v>
      </c>
      <c r="J25" s="22" t="s">
        <v>24</v>
      </c>
      <c r="K25" s="24"/>
      <c r="L25" s="25"/>
    </row>
    <row r="26" spans="1:12" ht="15.75" x14ac:dyDescent="0.25">
      <c r="A26" s="43" t="s">
        <v>21</v>
      </c>
      <c r="B26" s="44" t="s">
        <v>1089</v>
      </c>
      <c r="C26" s="45" t="s">
        <v>210</v>
      </c>
      <c r="D26" s="67" t="s">
        <v>18</v>
      </c>
      <c r="E26" s="47" t="s">
        <v>427</v>
      </c>
      <c r="F26" s="48">
        <v>9000</v>
      </c>
      <c r="G26" s="62">
        <v>500000</v>
      </c>
      <c r="H26" s="49">
        <v>9000</v>
      </c>
      <c r="I26" s="48">
        <f>G26-H26</f>
        <v>491000</v>
      </c>
      <c r="J26" s="22" t="s">
        <v>16</v>
      </c>
      <c r="K26" s="50"/>
      <c r="L26" s="51"/>
    </row>
    <row r="27" spans="1:12" ht="16.5" thickBot="1" x14ac:dyDescent="0.3">
      <c r="A27" s="30"/>
      <c r="B27" s="31"/>
      <c r="C27" s="32"/>
      <c r="D27" s="68"/>
      <c r="E27" s="41"/>
      <c r="F27" s="34"/>
      <c r="G27" s="34"/>
      <c r="H27" s="35"/>
      <c r="I27" s="34"/>
      <c r="J27" s="48"/>
      <c r="K27" s="36"/>
      <c r="L27" s="37"/>
    </row>
    <row r="28" spans="1:12" ht="16.5" thickBot="1" x14ac:dyDescent="0.3">
      <c r="J28" s="34" t="s">
        <v>64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2:L24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1281</v>
      </c>
      <c r="C4" s="26" t="s">
        <v>701</v>
      </c>
      <c r="D4" s="65" t="s">
        <v>1087</v>
      </c>
      <c r="E4" s="39" t="s">
        <v>38</v>
      </c>
      <c r="F4" s="16">
        <v>115.9</v>
      </c>
      <c r="G4" s="16">
        <v>100000</v>
      </c>
      <c r="H4" s="17">
        <v>115.9</v>
      </c>
      <c r="I4" s="16">
        <f t="shared" ref="I4:I11" si="0">G4-H4</f>
        <v>99884.1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1219</v>
      </c>
      <c r="C5" s="28" t="s">
        <v>833</v>
      </c>
      <c r="D5" s="66" t="s">
        <v>48</v>
      </c>
      <c r="E5" s="40" t="s">
        <v>834</v>
      </c>
      <c r="F5" s="22">
        <v>29000</v>
      </c>
      <c r="G5" s="42">
        <v>38620</v>
      </c>
      <c r="H5" s="23">
        <f>14560+29000</f>
        <v>43560</v>
      </c>
      <c r="I5" s="22">
        <f t="shared" si="0"/>
        <v>-4940</v>
      </c>
      <c r="J5" s="22" t="s">
        <v>24</v>
      </c>
      <c r="K5" s="24"/>
      <c r="L5" s="25"/>
    </row>
    <row r="6" spans="1:12" ht="15.75" x14ac:dyDescent="0.25">
      <c r="A6" s="20" t="s">
        <v>20</v>
      </c>
      <c r="B6" s="21" t="s">
        <v>1195</v>
      </c>
      <c r="C6" s="28" t="s">
        <v>34</v>
      </c>
      <c r="D6" s="29" t="s">
        <v>18</v>
      </c>
      <c r="E6" s="40" t="s">
        <v>1196</v>
      </c>
      <c r="F6" s="22">
        <f>14500+2185</f>
        <v>16685</v>
      </c>
      <c r="G6" s="42">
        <v>100000</v>
      </c>
      <c r="H6" s="23">
        <f>10000+26250+1920+23500+16685</f>
        <v>78355</v>
      </c>
      <c r="I6" s="22">
        <f>G6-H6</f>
        <v>21645</v>
      </c>
      <c r="J6" s="22" t="s">
        <v>16</v>
      </c>
      <c r="K6" s="24"/>
      <c r="L6" s="25"/>
    </row>
    <row r="7" spans="1:12" ht="15.75" x14ac:dyDescent="0.25">
      <c r="A7" s="20" t="s">
        <v>44</v>
      </c>
      <c r="B7" s="21" t="s">
        <v>1266</v>
      </c>
      <c r="C7" s="28" t="s">
        <v>15</v>
      </c>
      <c r="D7" s="66" t="s">
        <v>47</v>
      </c>
      <c r="E7" s="40" t="s">
        <v>45</v>
      </c>
      <c r="F7" s="22">
        <v>75000</v>
      </c>
      <c r="G7" s="42">
        <v>500000</v>
      </c>
      <c r="H7" s="23">
        <f>44000+75000</f>
        <v>119000</v>
      </c>
      <c r="I7" s="22">
        <f>G7-H7</f>
        <v>381000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1282</v>
      </c>
      <c r="C8" s="28" t="s">
        <v>1283</v>
      </c>
      <c r="D8" s="66" t="s">
        <v>35</v>
      </c>
      <c r="E8" s="40" t="s">
        <v>1284</v>
      </c>
      <c r="F8" s="22">
        <v>185.7</v>
      </c>
      <c r="G8" s="22">
        <v>200</v>
      </c>
      <c r="H8" s="23">
        <v>185.7</v>
      </c>
      <c r="I8" s="22">
        <f>G8-H8</f>
        <v>14.300000000000011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1251</v>
      </c>
      <c r="C9" s="28" t="s">
        <v>61</v>
      </c>
      <c r="D9" s="66" t="s">
        <v>211</v>
      </c>
      <c r="E9" s="40" t="s">
        <v>46</v>
      </c>
      <c r="F9" s="22">
        <v>35.700000000000003</v>
      </c>
      <c r="G9" s="42">
        <v>400</v>
      </c>
      <c r="H9" s="23">
        <v>35.700000000000003</v>
      </c>
      <c r="I9" s="22">
        <f t="shared" si="0"/>
        <v>364.3</v>
      </c>
      <c r="J9" s="22" t="s">
        <v>23</v>
      </c>
      <c r="K9" s="24"/>
      <c r="L9" s="25"/>
    </row>
    <row r="10" spans="1:12" ht="15.75" x14ac:dyDescent="0.25">
      <c r="A10" s="20" t="s">
        <v>19</v>
      </c>
      <c r="B10" s="21" t="s">
        <v>1264</v>
      </c>
      <c r="C10" s="28" t="s">
        <v>29</v>
      </c>
      <c r="D10" s="66" t="s">
        <v>18</v>
      </c>
      <c r="E10" s="40" t="s">
        <v>517</v>
      </c>
      <c r="F10" s="22">
        <v>9000</v>
      </c>
      <c r="G10" s="22">
        <v>20000</v>
      </c>
      <c r="H10" s="23">
        <f>13000+9000</f>
        <v>22000</v>
      </c>
      <c r="I10" s="22">
        <f t="shared" si="0"/>
        <v>-2000</v>
      </c>
      <c r="J10" s="22" t="s">
        <v>24</v>
      </c>
      <c r="K10" s="24"/>
      <c r="L10" s="25"/>
    </row>
    <row r="11" spans="1:12" ht="15.75" x14ac:dyDescent="0.25">
      <c r="A11" s="20" t="s">
        <v>22</v>
      </c>
      <c r="B11" s="21" t="s">
        <v>1285</v>
      </c>
      <c r="C11" s="28" t="s">
        <v>506</v>
      </c>
      <c r="D11" s="29" t="s">
        <v>1286</v>
      </c>
      <c r="E11" s="40" t="s">
        <v>351</v>
      </c>
      <c r="F11" s="22">
        <v>119.4</v>
      </c>
      <c r="G11" s="42">
        <v>200</v>
      </c>
      <c r="H11" s="23">
        <v>119.4</v>
      </c>
      <c r="I11" s="22">
        <f t="shared" si="0"/>
        <v>80.599999999999994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1089</v>
      </c>
      <c r="C12" s="28" t="s">
        <v>15</v>
      </c>
      <c r="D12" s="66" t="s">
        <v>18</v>
      </c>
      <c r="E12" s="40" t="s">
        <v>517</v>
      </c>
      <c r="F12" s="22">
        <v>9000</v>
      </c>
      <c r="G12" s="22">
        <v>50000</v>
      </c>
      <c r="H12" s="23">
        <f>13000+9000</f>
        <v>22000</v>
      </c>
      <c r="I12" s="22">
        <f>G12-H12</f>
        <v>28000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1258</v>
      </c>
      <c r="C13" s="28" t="s">
        <v>204</v>
      </c>
      <c r="D13" s="29" t="s">
        <v>1087</v>
      </c>
      <c r="E13" s="40" t="s">
        <v>206</v>
      </c>
      <c r="F13" s="22">
        <v>231.1</v>
      </c>
      <c r="G13" s="42">
        <v>3000</v>
      </c>
      <c r="H13" s="23">
        <f>206.4+534+231.6+231.1</f>
        <v>1203.0999999999999</v>
      </c>
      <c r="I13" s="22">
        <f t="shared" ref="I13" si="1">G13-H13</f>
        <v>1796.9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947</v>
      </c>
      <c r="C14" s="28" t="s">
        <v>422</v>
      </c>
      <c r="D14" s="66" t="s">
        <v>48</v>
      </c>
      <c r="E14" s="40" t="s">
        <v>49</v>
      </c>
      <c r="F14" s="22">
        <v>15000</v>
      </c>
      <c r="G14" s="22">
        <v>270000</v>
      </c>
      <c r="H14" s="23">
        <f>246000+4000+15000</f>
        <v>265000</v>
      </c>
      <c r="I14" s="22">
        <f>G14-H14</f>
        <v>5000</v>
      </c>
      <c r="J14" s="22" t="s">
        <v>23</v>
      </c>
      <c r="K14" s="24"/>
      <c r="L14" s="25"/>
    </row>
    <row r="15" spans="1:12" ht="15.75" x14ac:dyDescent="0.25">
      <c r="A15" s="20" t="s">
        <v>1278</v>
      </c>
      <c r="B15" s="21" t="s">
        <v>690</v>
      </c>
      <c r="C15" s="28" t="s">
        <v>1279</v>
      </c>
      <c r="D15" s="66" t="s">
        <v>42</v>
      </c>
      <c r="E15" s="40" t="s">
        <v>1280</v>
      </c>
      <c r="F15" s="22">
        <v>38000</v>
      </c>
      <c r="G15" s="22">
        <v>50000</v>
      </c>
      <c r="H15" s="23">
        <v>38000</v>
      </c>
      <c r="I15" s="22">
        <f>G15-H15</f>
        <v>12000</v>
      </c>
      <c r="J15" s="22" t="s">
        <v>16</v>
      </c>
      <c r="K15" s="24"/>
      <c r="L15" s="25"/>
    </row>
    <row r="16" spans="1:12" ht="15.75" x14ac:dyDescent="0.25">
      <c r="A16" s="20" t="s">
        <v>20</v>
      </c>
      <c r="B16" s="21" t="s">
        <v>1274</v>
      </c>
      <c r="C16" s="28" t="s">
        <v>32</v>
      </c>
      <c r="D16" s="66" t="s">
        <v>18</v>
      </c>
      <c r="E16" s="40" t="s">
        <v>1275</v>
      </c>
      <c r="F16" s="22">
        <v>2185</v>
      </c>
      <c r="G16" s="22">
        <v>2000</v>
      </c>
      <c r="H16" s="23">
        <v>2185</v>
      </c>
      <c r="I16" s="22">
        <f>G16-H16</f>
        <v>-185</v>
      </c>
      <c r="J16" s="22" t="s">
        <v>24</v>
      </c>
      <c r="K16" s="24"/>
      <c r="L16" s="25"/>
    </row>
    <row r="17" spans="1:12" ht="15.75" x14ac:dyDescent="0.25">
      <c r="A17" s="20" t="s">
        <v>14</v>
      </c>
      <c r="B17" s="21" t="s">
        <v>1225</v>
      </c>
      <c r="C17" s="28" t="s">
        <v>15</v>
      </c>
      <c r="D17" s="66" t="s">
        <v>219</v>
      </c>
      <c r="E17" s="40" t="s">
        <v>220</v>
      </c>
      <c r="F17" s="22">
        <v>2500</v>
      </c>
      <c r="G17" s="22">
        <v>30000</v>
      </c>
      <c r="H17" s="23">
        <f>7000+3500+5500+3500+2500</f>
        <v>22000</v>
      </c>
      <c r="I17" s="22">
        <f t="shared" ref="I17" si="2">G17-H17</f>
        <v>8000</v>
      </c>
      <c r="J17" s="22" t="s">
        <v>16</v>
      </c>
      <c r="K17" s="24"/>
      <c r="L17" s="25"/>
    </row>
    <row r="18" spans="1:12" ht="15.75" x14ac:dyDescent="0.25">
      <c r="A18" s="20" t="s">
        <v>28</v>
      </c>
      <c r="B18" s="21" t="s">
        <v>1163</v>
      </c>
      <c r="C18" s="28" t="s">
        <v>15</v>
      </c>
      <c r="D18" s="66" t="s">
        <v>344</v>
      </c>
      <c r="E18" s="40" t="s">
        <v>466</v>
      </c>
      <c r="F18" s="22">
        <v>36000</v>
      </c>
      <c r="G18" s="22">
        <v>300000</v>
      </c>
      <c r="H18" s="23">
        <f>144000+36000</f>
        <v>180000</v>
      </c>
      <c r="I18" s="22">
        <f>G18-H18</f>
        <v>120000</v>
      </c>
      <c r="J18" s="22" t="s">
        <v>16</v>
      </c>
      <c r="K18" s="24"/>
      <c r="L18" s="25"/>
    </row>
    <row r="19" spans="1:12" ht="15.75" x14ac:dyDescent="0.25">
      <c r="A19" s="20" t="s">
        <v>17</v>
      </c>
      <c r="B19" s="21" t="s">
        <v>1122</v>
      </c>
      <c r="C19" s="28" t="s">
        <v>1111</v>
      </c>
      <c r="D19" s="29" t="s">
        <v>18</v>
      </c>
      <c r="E19" s="40" t="s">
        <v>1123</v>
      </c>
      <c r="F19" s="22">
        <v>900</v>
      </c>
      <c r="G19" s="22">
        <v>2000</v>
      </c>
      <c r="H19" s="23">
        <v>900</v>
      </c>
      <c r="I19" s="22">
        <f>G19-H19</f>
        <v>1100</v>
      </c>
      <c r="J19" s="22" t="s">
        <v>16</v>
      </c>
      <c r="K19" s="24"/>
      <c r="L19" s="25"/>
    </row>
    <row r="20" spans="1:12" ht="15.75" x14ac:dyDescent="0.25">
      <c r="A20" s="20" t="s">
        <v>17</v>
      </c>
      <c r="B20" s="21" t="s">
        <v>1277</v>
      </c>
      <c r="C20" s="28" t="s">
        <v>15</v>
      </c>
      <c r="D20" s="29" t="s">
        <v>344</v>
      </c>
      <c r="E20" s="40" t="s">
        <v>921</v>
      </c>
      <c r="F20" s="22">
        <v>3725</v>
      </c>
      <c r="G20" s="22">
        <v>4000</v>
      </c>
      <c r="H20" s="23">
        <v>3725</v>
      </c>
      <c r="I20" s="22">
        <f>G20-H20</f>
        <v>275</v>
      </c>
      <c r="J20" s="22" t="s">
        <v>16</v>
      </c>
      <c r="K20" s="24"/>
      <c r="L20" s="25"/>
    </row>
    <row r="21" spans="1:12" ht="15.75" x14ac:dyDescent="0.25">
      <c r="A21" s="20" t="s">
        <v>19</v>
      </c>
      <c r="B21" s="21" t="s">
        <v>1233</v>
      </c>
      <c r="C21" s="28" t="s">
        <v>15</v>
      </c>
      <c r="D21" s="66" t="s">
        <v>18</v>
      </c>
      <c r="E21" s="40" t="s">
        <v>1276</v>
      </c>
      <c r="F21" s="22">
        <v>60000</v>
      </c>
      <c r="G21" s="22">
        <v>200000</v>
      </c>
      <c r="H21" s="23">
        <v>60000</v>
      </c>
      <c r="I21" s="22">
        <f>G21-H21</f>
        <v>140000</v>
      </c>
      <c r="J21" s="22" t="s">
        <v>16</v>
      </c>
      <c r="K21" s="24"/>
      <c r="L21" s="25"/>
    </row>
    <row r="22" spans="1:12" ht="15.75" x14ac:dyDescent="0.25">
      <c r="A22" s="80" t="s">
        <v>21</v>
      </c>
      <c r="B22" s="81" t="s">
        <v>1089</v>
      </c>
      <c r="C22" s="82" t="s">
        <v>210</v>
      </c>
      <c r="D22" s="83" t="s">
        <v>18</v>
      </c>
      <c r="E22" s="84" t="s">
        <v>427</v>
      </c>
      <c r="F22" s="85">
        <v>9000</v>
      </c>
      <c r="G22" s="86">
        <v>500000</v>
      </c>
      <c r="H22" s="87">
        <f>9000+9000</f>
        <v>18000</v>
      </c>
      <c r="I22" s="85">
        <f>G22-H22</f>
        <v>482000</v>
      </c>
      <c r="J22" s="85" t="s">
        <v>16</v>
      </c>
      <c r="K22" s="88"/>
      <c r="L22" s="89"/>
    </row>
    <row r="23" spans="1:12" ht="16.5" thickBot="1" x14ac:dyDescent="0.3">
      <c r="A23" s="43"/>
      <c r="B23" s="44"/>
      <c r="C23" s="45"/>
      <c r="D23" s="67"/>
      <c r="E23" s="47"/>
      <c r="F23" s="48"/>
      <c r="G23" s="62"/>
      <c r="H23" s="49"/>
      <c r="I23" s="48"/>
      <c r="J23" s="48"/>
      <c r="K23" s="50"/>
      <c r="L23" s="51"/>
    </row>
    <row r="24" spans="1:12" ht="16.5" thickBot="1" x14ac:dyDescent="0.3">
      <c r="A24" s="71"/>
      <c r="B24" s="72"/>
      <c r="C24" s="73"/>
      <c r="D24" s="74"/>
      <c r="E24" s="75"/>
      <c r="F24" s="76"/>
      <c r="G24" s="76"/>
      <c r="H24" s="77"/>
      <c r="I24" s="76"/>
      <c r="J24" s="76"/>
      <c r="K24" s="78"/>
      <c r="L24" s="79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2:L25"/>
  <sheetViews>
    <sheetView workbookViewId="0">
      <pane xSplit="3" topLeftCell="F1" activePane="topRight" state="frozen"/>
      <selection pane="topRight" activeCell="A15" sqref="A15:XFD1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1281</v>
      </c>
      <c r="C4" s="26" t="s">
        <v>701</v>
      </c>
      <c r="D4" s="65" t="s">
        <v>1087</v>
      </c>
      <c r="E4" s="39" t="s">
        <v>38</v>
      </c>
      <c r="F4" s="16">
        <v>187.4</v>
      </c>
      <c r="G4" s="16">
        <v>100000</v>
      </c>
      <c r="H4" s="17">
        <f>115.9+187.4</f>
        <v>303.3</v>
      </c>
      <c r="I4" s="16">
        <f t="shared" ref="I4:I11" si="0">G4-H4</f>
        <v>99696.7</v>
      </c>
      <c r="J4" s="16" t="s">
        <v>16</v>
      </c>
      <c r="K4" s="18"/>
      <c r="L4" s="19"/>
    </row>
    <row r="5" spans="1:12" ht="15.75" x14ac:dyDescent="0.25">
      <c r="A5" s="20" t="s">
        <v>40</v>
      </c>
      <c r="B5" s="21" t="s">
        <v>1144</v>
      </c>
      <c r="C5" s="28" t="s">
        <v>62</v>
      </c>
      <c r="D5" s="66" t="s">
        <v>54</v>
      </c>
      <c r="E5" s="40" t="s">
        <v>1267</v>
      </c>
      <c r="F5" s="22">
        <f>36000+30000+10000</f>
        <v>76000</v>
      </c>
      <c r="G5" s="42">
        <v>300000</v>
      </c>
      <c r="H5" s="23">
        <v>123000</v>
      </c>
      <c r="I5" s="22">
        <f t="shared" si="0"/>
        <v>177000</v>
      </c>
      <c r="J5" s="22" t="s">
        <v>16</v>
      </c>
      <c r="K5" s="24"/>
      <c r="L5" s="25"/>
    </row>
    <row r="6" spans="1:12" ht="15.75" x14ac:dyDescent="0.25">
      <c r="A6" s="20" t="s">
        <v>20</v>
      </c>
      <c r="B6" s="21" t="s">
        <v>1195</v>
      </c>
      <c r="C6" s="28" t="s">
        <v>34</v>
      </c>
      <c r="D6" s="29" t="s">
        <v>18</v>
      </c>
      <c r="E6" s="40" t="s">
        <v>1196</v>
      </c>
      <c r="F6" s="22">
        <v>5250</v>
      </c>
      <c r="G6" s="42">
        <v>100000</v>
      </c>
      <c r="H6" s="23">
        <f>10000+26250+1920+23500+16685+5250</f>
        <v>83605</v>
      </c>
      <c r="I6" s="22">
        <f>G6-H6</f>
        <v>16395</v>
      </c>
      <c r="J6" s="22" t="s">
        <v>16</v>
      </c>
      <c r="K6" s="24"/>
      <c r="L6" s="25"/>
    </row>
    <row r="7" spans="1:12" ht="15.75" x14ac:dyDescent="0.25">
      <c r="A7" s="20" t="s">
        <v>44</v>
      </c>
      <c r="B7" s="21" t="s">
        <v>1266</v>
      </c>
      <c r="C7" s="28" t="s">
        <v>15</v>
      </c>
      <c r="D7" s="66" t="s">
        <v>47</v>
      </c>
      <c r="E7" s="40" t="s">
        <v>45</v>
      </c>
      <c r="F7" s="22">
        <v>37000</v>
      </c>
      <c r="G7" s="42">
        <v>500000</v>
      </c>
      <c r="H7" s="23">
        <f>44000+75000+37000</f>
        <v>156000</v>
      </c>
      <c r="I7" s="22">
        <f>G7-H7</f>
        <v>344000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1290</v>
      </c>
      <c r="C8" s="28" t="s">
        <v>15</v>
      </c>
      <c r="D8" s="66" t="s">
        <v>344</v>
      </c>
      <c r="E8" s="40" t="s">
        <v>106</v>
      </c>
      <c r="F8" s="22">
        <v>34000</v>
      </c>
      <c r="G8" s="22">
        <v>50000</v>
      </c>
      <c r="H8" s="23">
        <v>34000</v>
      </c>
      <c r="I8" s="22">
        <f>G8-H8</f>
        <v>16000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1044</v>
      </c>
      <c r="C9" s="28" t="s">
        <v>950</v>
      </c>
      <c r="D9" s="29" t="s">
        <v>364</v>
      </c>
      <c r="E9" s="40" t="s">
        <v>951</v>
      </c>
      <c r="F9" s="22">
        <v>5950</v>
      </c>
      <c r="G9" s="22">
        <v>45000</v>
      </c>
      <c r="H9" s="23">
        <f>24025+3075+150+692+5950</f>
        <v>33892</v>
      </c>
      <c r="I9" s="22">
        <f>G9-H9</f>
        <v>11108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1291</v>
      </c>
      <c r="C10" s="28" t="s">
        <v>1292</v>
      </c>
      <c r="D10" s="66" t="s">
        <v>42</v>
      </c>
      <c r="E10" s="40" t="s">
        <v>780</v>
      </c>
      <c r="F10" s="22">
        <v>509</v>
      </c>
      <c r="G10" s="22">
        <v>5000</v>
      </c>
      <c r="H10" s="23">
        <v>5090</v>
      </c>
      <c r="I10" s="22">
        <f t="shared" si="0"/>
        <v>-90</v>
      </c>
      <c r="J10" s="22" t="s">
        <v>24</v>
      </c>
      <c r="K10" s="24"/>
      <c r="L10" s="25"/>
    </row>
    <row r="11" spans="1:12" ht="15.75" x14ac:dyDescent="0.25">
      <c r="A11" s="20" t="s">
        <v>19</v>
      </c>
      <c r="B11" s="21" t="s">
        <v>1293</v>
      </c>
      <c r="C11" s="28" t="s">
        <v>1292</v>
      </c>
      <c r="D11" s="29" t="s">
        <v>42</v>
      </c>
      <c r="E11" s="40" t="s">
        <v>1294</v>
      </c>
      <c r="F11" s="22">
        <v>4680</v>
      </c>
      <c r="G11" s="42">
        <v>5000</v>
      </c>
      <c r="H11" s="23">
        <v>4680</v>
      </c>
      <c r="I11" s="22">
        <f t="shared" si="0"/>
        <v>320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1233</v>
      </c>
      <c r="C12" s="28" t="s">
        <v>15</v>
      </c>
      <c r="D12" s="66" t="s">
        <v>18</v>
      </c>
      <c r="E12" s="40" t="s">
        <v>1234</v>
      </c>
      <c r="F12" s="22">
        <v>1500</v>
      </c>
      <c r="G12" s="22">
        <v>10000</v>
      </c>
      <c r="H12" s="23">
        <v>1500</v>
      </c>
      <c r="I12" s="22">
        <f>G12-H12</f>
        <v>8500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1258</v>
      </c>
      <c r="C13" s="28" t="s">
        <v>204</v>
      </c>
      <c r="D13" s="29" t="s">
        <v>1087</v>
      </c>
      <c r="E13" s="40" t="s">
        <v>206</v>
      </c>
      <c r="F13" s="22">
        <v>761.4</v>
      </c>
      <c r="G13" s="42">
        <v>3000</v>
      </c>
      <c r="H13" s="23">
        <f>206.4+534+231.6+231.1+761.4</f>
        <v>1964.5</v>
      </c>
      <c r="I13" s="22">
        <f t="shared" ref="I13" si="1">G13-H13</f>
        <v>1035.5</v>
      </c>
      <c r="J13" s="22" t="s">
        <v>16</v>
      </c>
      <c r="K13" s="24"/>
      <c r="L13" s="25"/>
    </row>
    <row r="14" spans="1:12" ht="15.75" x14ac:dyDescent="0.25">
      <c r="A14" s="20" t="s">
        <v>30</v>
      </c>
      <c r="B14" s="21" t="s">
        <v>878</v>
      </c>
      <c r="C14" s="28" t="s">
        <v>1288</v>
      </c>
      <c r="D14" s="66" t="s">
        <v>1289</v>
      </c>
      <c r="E14" s="40" t="s">
        <v>877</v>
      </c>
      <c r="F14" s="22">
        <v>8000</v>
      </c>
      <c r="G14" s="22">
        <v>18000</v>
      </c>
      <c r="H14" s="23">
        <v>14000</v>
      </c>
      <c r="I14" s="22">
        <f>G14-H14</f>
        <v>4000</v>
      </c>
      <c r="J14" s="22" t="s">
        <v>16</v>
      </c>
      <c r="K14" s="24"/>
      <c r="L14" s="25"/>
    </row>
    <row r="15" spans="1:12" ht="15.75" x14ac:dyDescent="0.25">
      <c r="A15" s="20" t="s">
        <v>1278</v>
      </c>
      <c r="B15" s="21" t="s">
        <v>690</v>
      </c>
      <c r="C15" s="28" t="s">
        <v>1279</v>
      </c>
      <c r="D15" s="66" t="s">
        <v>42</v>
      </c>
      <c r="E15" s="40" t="s">
        <v>1280</v>
      </c>
      <c r="F15" s="22">
        <v>6000</v>
      </c>
      <c r="G15" s="22">
        <v>50000</v>
      </c>
      <c r="H15" s="23">
        <f>38000+6000</f>
        <v>44000</v>
      </c>
      <c r="I15" s="22">
        <f>G15-H15</f>
        <v>6000</v>
      </c>
      <c r="J15" s="22" t="s">
        <v>16</v>
      </c>
      <c r="K15" s="24"/>
      <c r="L15" s="25"/>
    </row>
    <row r="16" spans="1:12" ht="15.75" x14ac:dyDescent="0.25">
      <c r="A16" s="20" t="s">
        <v>22</v>
      </c>
      <c r="B16" s="21" t="s">
        <v>1295</v>
      </c>
      <c r="C16" s="28" t="s">
        <v>1296</v>
      </c>
      <c r="D16" s="66" t="s">
        <v>1297</v>
      </c>
      <c r="E16" s="40" t="s">
        <v>1298</v>
      </c>
      <c r="F16" s="22">
        <v>717</v>
      </c>
      <c r="G16" s="22">
        <v>700</v>
      </c>
      <c r="H16" s="23">
        <v>717</v>
      </c>
      <c r="I16" s="22">
        <f>G16-H16</f>
        <v>-17</v>
      </c>
      <c r="J16" s="22" t="s">
        <v>24</v>
      </c>
      <c r="K16" s="24"/>
      <c r="L16" s="25"/>
    </row>
    <row r="17" spans="1:12" ht="15.75" x14ac:dyDescent="0.25">
      <c r="A17" s="20" t="s">
        <v>22</v>
      </c>
      <c r="B17" s="21" t="s">
        <v>1299</v>
      </c>
      <c r="C17" s="28" t="s">
        <v>1296</v>
      </c>
      <c r="D17" s="66" t="s">
        <v>1297</v>
      </c>
      <c r="E17" s="40" t="s">
        <v>1300</v>
      </c>
      <c r="F17" s="22">
        <v>485</v>
      </c>
      <c r="G17" s="22">
        <v>500</v>
      </c>
      <c r="H17" s="23">
        <v>485</v>
      </c>
      <c r="I17" s="22">
        <f t="shared" ref="I17:I18" si="2">G17-H17</f>
        <v>15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1301</v>
      </c>
      <c r="C18" s="28" t="s">
        <v>1302</v>
      </c>
      <c r="D18" s="66" t="s">
        <v>42</v>
      </c>
      <c r="E18" s="40" t="s">
        <v>458</v>
      </c>
      <c r="F18" s="22">
        <v>4500</v>
      </c>
      <c r="G18" s="22">
        <v>5500</v>
      </c>
      <c r="H18" s="23">
        <v>5750</v>
      </c>
      <c r="I18" s="22">
        <f t="shared" si="2"/>
        <v>-250</v>
      </c>
      <c r="J18" s="22" t="s">
        <v>24</v>
      </c>
      <c r="K18" s="24"/>
      <c r="L18" s="25"/>
    </row>
    <row r="19" spans="1:12" ht="15.75" x14ac:dyDescent="0.25">
      <c r="A19" s="20" t="s">
        <v>30</v>
      </c>
      <c r="B19" s="21" t="s">
        <v>1078</v>
      </c>
      <c r="C19" s="28" t="s">
        <v>1079</v>
      </c>
      <c r="D19" s="66" t="s">
        <v>1303</v>
      </c>
      <c r="E19" s="40" t="s">
        <v>1304</v>
      </c>
      <c r="F19" s="22">
        <v>11500</v>
      </c>
      <c r="G19" s="22">
        <v>50000</v>
      </c>
      <c r="H19" s="23">
        <v>11500</v>
      </c>
      <c r="I19" s="22">
        <f>G19-H19</f>
        <v>38500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403</v>
      </c>
      <c r="C20" s="28" t="s">
        <v>1305</v>
      </c>
      <c r="D20" s="29" t="s">
        <v>27</v>
      </c>
      <c r="E20" s="40" t="s">
        <v>405</v>
      </c>
      <c r="F20" s="22">
        <v>20000</v>
      </c>
      <c r="G20" s="22">
        <v>1000000</v>
      </c>
      <c r="H20" s="23">
        <v>20000</v>
      </c>
      <c r="I20" s="22">
        <f>G20-H20</f>
        <v>980000</v>
      </c>
      <c r="J20" s="22" t="s">
        <v>16</v>
      </c>
      <c r="K20" s="24"/>
      <c r="L20" s="25"/>
    </row>
    <row r="21" spans="1:12" ht="15.75" x14ac:dyDescent="0.25">
      <c r="A21" s="20" t="s">
        <v>17</v>
      </c>
      <c r="B21" s="21" t="s">
        <v>1277</v>
      </c>
      <c r="C21" s="28" t="s">
        <v>15</v>
      </c>
      <c r="D21" s="29" t="s">
        <v>344</v>
      </c>
      <c r="E21" s="40" t="s">
        <v>921</v>
      </c>
      <c r="F21" s="22">
        <v>1350</v>
      </c>
      <c r="G21" s="22">
        <v>4000</v>
      </c>
      <c r="H21" s="23">
        <f>3725+1350</f>
        <v>5075</v>
      </c>
      <c r="I21" s="22">
        <f>G21-H21</f>
        <v>-1075</v>
      </c>
      <c r="J21" s="22" t="s">
        <v>16</v>
      </c>
      <c r="K21" s="24"/>
      <c r="L21" s="25"/>
    </row>
    <row r="22" spans="1:12" ht="15.75" x14ac:dyDescent="0.25">
      <c r="A22" s="20" t="s">
        <v>21</v>
      </c>
      <c r="B22" s="21" t="s">
        <v>1287</v>
      </c>
      <c r="C22" s="28" t="s">
        <v>273</v>
      </c>
      <c r="D22" s="66" t="s">
        <v>27</v>
      </c>
      <c r="E22" s="40" t="s">
        <v>1086</v>
      </c>
      <c r="F22" s="22">
        <v>30000</v>
      </c>
      <c r="G22" s="22">
        <v>200000</v>
      </c>
      <c r="H22" s="23">
        <f>60000+30000</f>
        <v>90000</v>
      </c>
      <c r="I22" s="22">
        <f>G22-H22</f>
        <v>110000</v>
      </c>
      <c r="J22" s="22" t="s">
        <v>16</v>
      </c>
      <c r="K22" s="24"/>
      <c r="L22" s="25"/>
    </row>
    <row r="23" spans="1:12" ht="15.75" x14ac:dyDescent="0.25">
      <c r="A23" s="80" t="s">
        <v>21</v>
      </c>
      <c r="B23" s="81" t="s">
        <v>1089</v>
      </c>
      <c r="C23" s="82" t="s">
        <v>210</v>
      </c>
      <c r="D23" s="83" t="s">
        <v>18</v>
      </c>
      <c r="E23" s="84" t="s">
        <v>427</v>
      </c>
      <c r="F23" s="85">
        <f>9000+15000</f>
        <v>24000</v>
      </c>
      <c r="G23" s="86">
        <v>500000</v>
      </c>
      <c r="H23" s="87">
        <v>224000</v>
      </c>
      <c r="I23" s="85">
        <f>G23-H23</f>
        <v>276000</v>
      </c>
      <c r="J23" s="85" t="s">
        <v>16</v>
      </c>
      <c r="K23" s="88"/>
      <c r="L23" s="89"/>
    </row>
    <row r="24" spans="1:12" ht="16.5" thickBot="1" x14ac:dyDescent="0.3">
      <c r="A24" s="43"/>
      <c r="B24" s="44"/>
      <c r="C24" s="45"/>
      <c r="D24" s="67"/>
      <c r="E24" s="47"/>
      <c r="F24" s="48"/>
      <c r="G24" s="62"/>
      <c r="H24" s="49"/>
      <c r="I24" s="48"/>
      <c r="J24" s="48"/>
      <c r="K24" s="50"/>
      <c r="L24" s="51"/>
    </row>
    <row r="25" spans="1:12" ht="16.5" thickBot="1" x14ac:dyDescent="0.3">
      <c r="A25" s="71"/>
      <c r="B25" s="72"/>
      <c r="C25" s="73"/>
      <c r="D25" s="74"/>
      <c r="E25" s="75"/>
      <c r="F25" s="76"/>
      <c r="G25" s="76"/>
      <c r="H25" s="77"/>
      <c r="I25" s="76"/>
      <c r="J25" s="76"/>
      <c r="K25" s="78"/>
      <c r="L25" s="79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2:L21"/>
  <sheetViews>
    <sheetView workbookViewId="0">
      <pane xSplit="3" topLeftCell="F1" activePane="topRight" state="frozen"/>
      <selection pane="topRight" activeCell="A6" sqref="A6:XFD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1026</v>
      </c>
      <c r="C4" s="26" t="s">
        <v>541</v>
      </c>
      <c r="D4" s="65" t="s">
        <v>1307</v>
      </c>
      <c r="E4" s="39" t="s">
        <v>1027</v>
      </c>
      <c r="F4" s="16">
        <v>4000</v>
      </c>
      <c r="G4" s="16">
        <v>20000</v>
      </c>
      <c r="H4" s="17">
        <v>4000</v>
      </c>
      <c r="I4" s="16">
        <f t="shared" ref="I4:I11" si="0">G4-H4</f>
        <v>16000</v>
      </c>
      <c r="J4" s="16" t="s">
        <v>16</v>
      </c>
      <c r="K4" s="18"/>
      <c r="L4" s="19"/>
    </row>
    <row r="5" spans="1:12" ht="15.75" x14ac:dyDescent="0.25">
      <c r="A5" s="20" t="s">
        <v>21</v>
      </c>
      <c r="B5" s="21" t="s">
        <v>1308</v>
      </c>
      <c r="C5" s="28" t="s">
        <v>287</v>
      </c>
      <c r="D5" s="66" t="s">
        <v>18</v>
      </c>
      <c r="E5" s="40" t="s">
        <v>424</v>
      </c>
      <c r="F5" s="22">
        <v>41379</v>
      </c>
      <c r="G5" s="42">
        <v>62800</v>
      </c>
      <c r="H5" s="23">
        <v>41379</v>
      </c>
      <c r="I5" s="22">
        <f t="shared" si="0"/>
        <v>21421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1165</v>
      </c>
      <c r="C6" s="28" t="s">
        <v>1309</v>
      </c>
      <c r="D6" s="29" t="s">
        <v>71</v>
      </c>
      <c r="E6" s="40" t="s">
        <v>222</v>
      </c>
      <c r="F6" s="22">
        <v>8000</v>
      </c>
      <c r="G6" s="42">
        <v>80000</v>
      </c>
      <c r="H6" s="23">
        <v>82635</v>
      </c>
      <c r="I6" s="22">
        <f>G6-H6</f>
        <v>-2635</v>
      </c>
      <c r="J6" s="22" t="s">
        <v>24</v>
      </c>
      <c r="K6" s="24"/>
      <c r="L6" s="25"/>
    </row>
    <row r="7" spans="1:12" ht="15.75" x14ac:dyDescent="0.25">
      <c r="A7" s="20" t="s">
        <v>44</v>
      </c>
      <c r="B7" s="21" t="s">
        <v>1266</v>
      </c>
      <c r="C7" s="28" t="s">
        <v>15</v>
      </c>
      <c r="D7" s="66" t="s">
        <v>47</v>
      </c>
      <c r="E7" s="40" t="s">
        <v>45</v>
      </c>
      <c r="F7" s="22">
        <v>35000</v>
      </c>
      <c r="G7" s="42">
        <v>500000</v>
      </c>
      <c r="H7" s="23">
        <f>44000+75000+37000+35000</f>
        <v>191000</v>
      </c>
      <c r="I7" s="22">
        <f>G7-H7</f>
        <v>309000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1290</v>
      </c>
      <c r="C8" s="28" t="s">
        <v>15</v>
      </c>
      <c r="D8" s="66" t="s">
        <v>344</v>
      </c>
      <c r="E8" s="40" t="s">
        <v>106</v>
      </c>
      <c r="F8" s="22">
        <v>34000</v>
      </c>
      <c r="G8" s="22">
        <v>50000</v>
      </c>
      <c r="H8" s="23">
        <v>34000</v>
      </c>
      <c r="I8" s="22">
        <f>G8-H8</f>
        <v>16000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1044</v>
      </c>
      <c r="C9" s="28" t="s">
        <v>950</v>
      </c>
      <c r="D9" s="29" t="s">
        <v>364</v>
      </c>
      <c r="E9" s="40" t="s">
        <v>951</v>
      </c>
      <c r="F9" s="22">
        <v>900</v>
      </c>
      <c r="G9" s="22">
        <v>45000</v>
      </c>
      <c r="H9" s="23">
        <f>24025+3075+150+692+5950+900</f>
        <v>34792</v>
      </c>
      <c r="I9" s="22">
        <f>G9-H9</f>
        <v>10208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1256</v>
      </c>
      <c r="C10" s="28" t="s">
        <v>15</v>
      </c>
      <c r="D10" s="66" t="s">
        <v>381</v>
      </c>
      <c r="E10" s="40" t="s">
        <v>220</v>
      </c>
      <c r="F10" s="22">
        <v>3000</v>
      </c>
      <c r="G10" s="22">
        <v>30000</v>
      </c>
      <c r="H10" s="23">
        <v>25000</v>
      </c>
      <c r="I10" s="22">
        <f t="shared" si="0"/>
        <v>5000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1310</v>
      </c>
      <c r="C11" s="28" t="s">
        <v>15</v>
      </c>
      <c r="D11" s="29" t="s">
        <v>381</v>
      </c>
      <c r="E11" s="40" t="s">
        <v>1311</v>
      </c>
      <c r="F11" s="22">
        <v>2000</v>
      </c>
      <c r="G11" s="42">
        <v>10000</v>
      </c>
      <c r="H11" s="23">
        <v>2000</v>
      </c>
      <c r="I11" s="22">
        <f t="shared" si="0"/>
        <v>8000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1233</v>
      </c>
      <c r="C12" s="28" t="s">
        <v>15</v>
      </c>
      <c r="D12" s="66" t="s">
        <v>18</v>
      </c>
      <c r="E12" s="40" t="s">
        <v>1234</v>
      </c>
      <c r="F12" s="22">
        <v>12000</v>
      </c>
      <c r="G12" s="22">
        <v>10000</v>
      </c>
      <c r="H12" s="23">
        <f>1500+12000</f>
        <v>13500</v>
      </c>
      <c r="I12" s="22">
        <f>G12-H12</f>
        <v>-3500</v>
      </c>
      <c r="J12" s="22" t="s">
        <v>24</v>
      </c>
      <c r="K12" s="24"/>
      <c r="L12" s="25"/>
    </row>
    <row r="13" spans="1:12" ht="15.75" x14ac:dyDescent="0.25">
      <c r="A13" s="20" t="s">
        <v>22</v>
      </c>
      <c r="B13" s="21" t="s">
        <v>1281</v>
      </c>
      <c r="C13" s="28" t="s">
        <v>1312</v>
      </c>
      <c r="D13" s="29" t="s">
        <v>48</v>
      </c>
      <c r="E13" s="40" t="s">
        <v>351</v>
      </c>
      <c r="F13" s="22">
        <v>59</v>
      </c>
      <c r="G13" s="42">
        <v>200</v>
      </c>
      <c r="H13" s="23">
        <v>59</v>
      </c>
      <c r="I13" s="22">
        <f t="shared" ref="I13" si="1">G13-H13</f>
        <v>141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1313</v>
      </c>
      <c r="C14" s="28" t="s">
        <v>1312</v>
      </c>
      <c r="D14" s="66" t="s">
        <v>48</v>
      </c>
      <c r="E14" s="40" t="s">
        <v>351</v>
      </c>
      <c r="F14" s="22">
        <v>206.2</v>
      </c>
      <c r="G14" s="22">
        <v>200</v>
      </c>
      <c r="H14" s="23">
        <v>206.2</v>
      </c>
      <c r="I14" s="22">
        <f t="shared" ref="I14:I19" si="2">G14-H14</f>
        <v>-6.1999999999999886</v>
      </c>
      <c r="J14" s="22" t="s">
        <v>24</v>
      </c>
      <c r="K14" s="24"/>
      <c r="L14" s="25"/>
    </row>
    <row r="15" spans="1:12" ht="15.75" x14ac:dyDescent="0.25">
      <c r="A15" s="20" t="s">
        <v>28</v>
      </c>
      <c r="B15" s="21" t="s">
        <v>486</v>
      </c>
      <c r="C15" s="28" t="s">
        <v>15</v>
      </c>
      <c r="D15" s="66" t="s">
        <v>344</v>
      </c>
      <c r="E15" s="40" t="s">
        <v>466</v>
      </c>
      <c r="F15" s="22">
        <v>24000</v>
      </c>
      <c r="G15" s="22">
        <v>100000</v>
      </c>
      <c r="H15" s="23">
        <v>24000</v>
      </c>
      <c r="I15" s="22">
        <f t="shared" si="2"/>
        <v>76000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403</v>
      </c>
      <c r="C16" s="28" t="s">
        <v>1305</v>
      </c>
      <c r="D16" s="29" t="s">
        <v>27</v>
      </c>
      <c r="E16" s="40" t="s">
        <v>405</v>
      </c>
      <c r="F16" s="22">
        <v>23000</v>
      </c>
      <c r="G16" s="22">
        <v>1000000</v>
      </c>
      <c r="H16" s="23">
        <v>23000</v>
      </c>
      <c r="I16" s="22">
        <f t="shared" si="2"/>
        <v>977000</v>
      </c>
      <c r="J16" s="22" t="s">
        <v>16</v>
      </c>
      <c r="K16" s="24"/>
      <c r="L16" s="25"/>
    </row>
    <row r="17" spans="1:12" ht="15.75" x14ac:dyDescent="0.25">
      <c r="A17" s="20" t="s">
        <v>30</v>
      </c>
      <c r="B17" s="21" t="s">
        <v>947</v>
      </c>
      <c r="C17" s="28" t="s">
        <v>422</v>
      </c>
      <c r="D17" s="29" t="s">
        <v>48</v>
      </c>
      <c r="E17" s="40" t="s">
        <v>49</v>
      </c>
      <c r="F17" s="22">
        <v>44000</v>
      </c>
      <c r="G17" s="22">
        <v>321000</v>
      </c>
      <c r="H17" s="23">
        <v>44000</v>
      </c>
      <c r="I17" s="22">
        <f t="shared" si="2"/>
        <v>277000</v>
      </c>
      <c r="J17" s="22" t="s">
        <v>16</v>
      </c>
      <c r="K17" s="24"/>
      <c r="L17" s="25"/>
    </row>
    <row r="18" spans="1:12" ht="15.75" x14ac:dyDescent="0.25">
      <c r="A18" s="20" t="s">
        <v>82</v>
      </c>
      <c r="B18" s="21" t="s">
        <v>1306</v>
      </c>
      <c r="C18" s="28" t="s">
        <v>15</v>
      </c>
      <c r="D18" s="66" t="s">
        <v>91</v>
      </c>
      <c r="E18" s="40" t="s">
        <v>81</v>
      </c>
      <c r="F18" s="22">
        <v>355</v>
      </c>
      <c r="G18" s="22">
        <v>2000</v>
      </c>
      <c r="H18" s="23">
        <v>505</v>
      </c>
      <c r="I18" s="22">
        <f t="shared" si="2"/>
        <v>1495</v>
      </c>
      <c r="J18" s="22" t="s">
        <v>16</v>
      </c>
      <c r="K18" s="24"/>
      <c r="L18" s="25"/>
    </row>
    <row r="19" spans="1:12" ht="15.75" x14ac:dyDescent="0.25">
      <c r="A19" s="80" t="s">
        <v>21</v>
      </c>
      <c r="B19" s="81" t="s">
        <v>1089</v>
      </c>
      <c r="C19" s="82" t="s">
        <v>210</v>
      </c>
      <c r="D19" s="83" t="s">
        <v>18</v>
      </c>
      <c r="E19" s="84" t="s">
        <v>427</v>
      </c>
      <c r="F19" s="85">
        <v>33000</v>
      </c>
      <c r="G19" s="86">
        <v>500000</v>
      </c>
      <c r="H19" s="87">
        <f>224000+33000</f>
        <v>257000</v>
      </c>
      <c r="I19" s="85">
        <f t="shared" si="2"/>
        <v>243000</v>
      </c>
      <c r="J19" s="85" t="s">
        <v>16</v>
      </c>
      <c r="K19" s="88"/>
      <c r="L19" s="89"/>
    </row>
    <row r="20" spans="1:12" ht="16.5" thickBot="1" x14ac:dyDescent="0.3">
      <c r="A20" s="43"/>
      <c r="B20" s="44"/>
      <c r="C20" s="45"/>
      <c r="D20" s="67"/>
      <c r="E20" s="47"/>
      <c r="F20" s="48"/>
      <c r="G20" s="62"/>
      <c r="H20" s="49"/>
      <c r="I20" s="48"/>
      <c r="J20" s="48"/>
      <c r="K20" s="50"/>
      <c r="L20" s="51"/>
    </row>
    <row r="21" spans="1:12" ht="16.5" thickBot="1" x14ac:dyDescent="0.3">
      <c r="A21" s="71"/>
      <c r="B21" s="72"/>
      <c r="C21" s="73"/>
      <c r="D21" s="74"/>
      <c r="E21" s="75"/>
      <c r="F21" s="76"/>
      <c r="G21" s="76"/>
      <c r="H21" s="77"/>
      <c r="I21" s="76"/>
      <c r="J21" s="76"/>
      <c r="K21" s="78"/>
      <c r="L21" s="79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2:L22"/>
  <sheetViews>
    <sheetView workbookViewId="0">
      <pane xSplit="3" topLeftCell="E1" activePane="topRight" state="frozen"/>
      <selection pane="topRight" activeCell="A12" sqref="A12:XFD12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1026</v>
      </c>
      <c r="C4" s="26" t="s">
        <v>541</v>
      </c>
      <c r="D4" s="65" t="s">
        <v>1327</v>
      </c>
      <c r="E4" s="39" t="s">
        <v>1027</v>
      </c>
      <c r="F4" s="16">
        <v>20000</v>
      </c>
      <c r="G4" s="16">
        <v>20000</v>
      </c>
      <c r="H4" s="17">
        <f>4000+20000</f>
        <v>24000</v>
      </c>
      <c r="I4" s="16">
        <f t="shared" ref="I4:I11" si="0">G4-H4</f>
        <v>-4000</v>
      </c>
      <c r="J4" s="16" t="s">
        <v>24</v>
      </c>
      <c r="K4" s="18"/>
      <c r="L4" s="19"/>
    </row>
    <row r="5" spans="1:12" ht="15.75" x14ac:dyDescent="0.25">
      <c r="A5" s="20" t="s">
        <v>51</v>
      </c>
      <c r="B5" s="21" t="s">
        <v>558</v>
      </c>
      <c r="C5" s="28" t="s">
        <v>701</v>
      </c>
      <c r="D5" s="66" t="s">
        <v>1087</v>
      </c>
      <c r="E5" s="40" t="s">
        <v>38</v>
      </c>
      <c r="F5" s="22">
        <v>280.2</v>
      </c>
      <c r="G5" s="42">
        <v>2000</v>
      </c>
      <c r="H5" s="23">
        <v>280.2</v>
      </c>
      <c r="I5" s="22">
        <f t="shared" si="0"/>
        <v>1719.8</v>
      </c>
      <c r="J5" s="22" t="s">
        <v>16</v>
      </c>
      <c r="K5" s="24"/>
      <c r="L5" s="25"/>
    </row>
    <row r="6" spans="1:12" ht="15.75" x14ac:dyDescent="0.25">
      <c r="A6" s="20" t="s">
        <v>20</v>
      </c>
      <c r="B6" s="21" t="s">
        <v>1159</v>
      </c>
      <c r="C6" s="28" t="s">
        <v>1328</v>
      </c>
      <c r="D6" s="29" t="s">
        <v>42</v>
      </c>
      <c r="E6" s="40" t="s">
        <v>365</v>
      </c>
      <c r="F6" s="22">
        <v>10040</v>
      </c>
      <c r="G6" s="42">
        <v>10000</v>
      </c>
      <c r="H6" s="23">
        <v>10040</v>
      </c>
      <c r="I6" s="22">
        <f>G6-H6</f>
        <v>-40</v>
      </c>
      <c r="J6" s="22" t="s">
        <v>24</v>
      </c>
      <c r="K6" s="24"/>
      <c r="L6" s="25"/>
    </row>
    <row r="7" spans="1:12" ht="15.75" x14ac:dyDescent="0.25">
      <c r="A7" s="20" t="s">
        <v>44</v>
      </c>
      <c r="B7" s="21" t="s">
        <v>1266</v>
      </c>
      <c r="C7" s="28" t="s">
        <v>15</v>
      </c>
      <c r="D7" s="66" t="s">
        <v>47</v>
      </c>
      <c r="E7" s="40" t="s">
        <v>45</v>
      </c>
      <c r="F7" s="22">
        <v>11000</v>
      </c>
      <c r="G7" s="42">
        <v>500000</v>
      </c>
      <c r="H7" s="23">
        <f>44000+75000+37000+35000+11000</f>
        <v>202000</v>
      </c>
      <c r="I7" s="22">
        <f>G7-H7</f>
        <v>298000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1315</v>
      </c>
      <c r="C8" s="28" t="s">
        <v>1316</v>
      </c>
      <c r="D8" s="66" t="s">
        <v>18</v>
      </c>
      <c r="E8" s="40" t="s">
        <v>1317</v>
      </c>
      <c r="F8" s="22">
        <v>8000</v>
      </c>
      <c r="G8" s="22">
        <v>10000</v>
      </c>
      <c r="H8" s="23">
        <v>8000</v>
      </c>
      <c r="I8" s="22">
        <f>G8-H8</f>
        <v>2000</v>
      </c>
      <c r="J8" s="22" t="s">
        <v>16</v>
      </c>
      <c r="K8" s="24"/>
      <c r="L8" s="25"/>
    </row>
    <row r="9" spans="1:12" ht="15.75" x14ac:dyDescent="0.25">
      <c r="A9" s="20" t="s">
        <v>26</v>
      </c>
      <c r="B9" s="21" t="s">
        <v>1318</v>
      </c>
      <c r="C9" s="28" t="s">
        <v>88</v>
      </c>
      <c r="D9" s="29" t="s">
        <v>1319</v>
      </c>
      <c r="E9" s="40" t="s">
        <v>90</v>
      </c>
      <c r="F9" s="22">
        <v>279.10000000000002</v>
      </c>
      <c r="G9" s="22">
        <v>1000</v>
      </c>
      <c r="H9" s="23">
        <v>279.10000000000002</v>
      </c>
      <c r="I9" s="22">
        <f>G9-H9</f>
        <v>720.9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1256</v>
      </c>
      <c r="C10" s="28" t="s">
        <v>15</v>
      </c>
      <c r="D10" s="66" t="s">
        <v>381</v>
      </c>
      <c r="E10" s="40" t="s">
        <v>220</v>
      </c>
      <c r="F10" s="22">
        <v>390</v>
      </c>
      <c r="G10" s="22">
        <v>30000</v>
      </c>
      <c r="H10" s="23">
        <f>25000+390</f>
        <v>25390</v>
      </c>
      <c r="I10" s="22">
        <f t="shared" si="0"/>
        <v>4610</v>
      </c>
      <c r="J10" s="22" t="s">
        <v>16</v>
      </c>
      <c r="K10" s="24"/>
      <c r="L10" s="25"/>
    </row>
    <row r="11" spans="1:12" ht="15.75" x14ac:dyDescent="0.25">
      <c r="A11" s="20" t="s">
        <v>44</v>
      </c>
      <c r="B11" s="21" t="s">
        <v>1089</v>
      </c>
      <c r="C11" s="28" t="s">
        <v>15</v>
      </c>
      <c r="D11" s="29" t="s">
        <v>1320</v>
      </c>
      <c r="E11" s="40" t="s">
        <v>50</v>
      </c>
      <c r="F11" s="22">
        <v>29000</v>
      </c>
      <c r="G11" s="42">
        <v>100000</v>
      </c>
      <c r="H11" s="23">
        <v>40000</v>
      </c>
      <c r="I11" s="22">
        <f t="shared" si="0"/>
        <v>60000</v>
      </c>
      <c r="J11" s="22" t="s">
        <v>16</v>
      </c>
      <c r="K11" s="24"/>
      <c r="L11" s="25"/>
    </row>
    <row r="12" spans="1:12" ht="15.75" x14ac:dyDescent="0.25">
      <c r="A12" s="20" t="s">
        <v>17</v>
      </c>
      <c r="B12" s="21" t="s">
        <v>1044</v>
      </c>
      <c r="C12" s="28" t="s">
        <v>950</v>
      </c>
      <c r="D12" s="29" t="s">
        <v>364</v>
      </c>
      <c r="E12" s="40" t="s">
        <v>951</v>
      </c>
      <c r="F12" s="22">
        <v>138</v>
      </c>
      <c r="G12" s="22">
        <v>45000</v>
      </c>
      <c r="H12" s="23">
        <f>24025+3075+150+692+5950+900+138</f>
        <v>34930</v>
      </c>
      <c r="I12" s="22">
        <f>G12-H12</f>
        <v>10070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1321</v>
      </c>
      <c r="C13" s="28" t="s">
        <v>816</v>
      </c>
      <c r="D13" s="66" t="s">
        <v>73</v>
      </c>
      <c r="E13" s="40" t="s">
        <v>1322</v>
      </c>
      <c r="F13" s="22">
        <v>123</v>
      </c>
      <c r="G13" s="22">
        <v>200</v>
      </c>
      <c r="H13" s="23">
        <v>223</v>
      </c>
      <c r="I13" s="22">
        <f>G13-H13</f>
        <v>-23</v>
      </c>
      <c r="J13" s="22" t="s">
        <v>24</v>
      </c>
      <c r="K13" s="24"/>
      <c r="L13" s="25"/>
    </row>
    <row r="14" spans="1:12" ht="15.75" x14ac:dyDescent="0.25">
      <c r="A14" s="20" t="s">
        <v>22</v>
      </c>
      <c r="B14" s="21" t="s">
        <v>1281</v>
      </c>
      <c r="C14" s="28" t="s">
        <v>1312</v>
      </c>
      <c r="D14" s="29" t="s">
        <v>48</v>
      </c>
      <c r="E14" s="40" t="s">
        <v>351</v>
      </c>
      <c r="F14" s="22">
        <v>183.4</v>
      </c>
      <c r="G14" s="42">
        <v>200</v>
      </c>
      <c r="H14" s="23">
        <f>59+183.4</f>
        <v>242.4</v>
      </c>
      <c r="I14" s="22">
        <f t="shared" ref="I14:I15" si="1">G14-H14</f>
        <v>-42.400000000000006</v>
      </c>
      <c r="J14" s="22" t="s">
        <v>24</v>
      </c>
      <c r="K14" s="24"/>
      <c r="L14" s="25"/>
    </row>
    <row r="15" spans="1:12" ht="15.75" x14ac:dyDescent="0.25">
      <c r="A15" s="20" t="s">
        <v>40</v>
      </c>
      <c r="B15" s="21" t="s">
        <v>1144</v>
      </c>
      <c r="C15" s="28" t="s">
        <v>62</v>
      </c>
      <c r="D15" s="66" t="s">
        <v>54</v>
      </c>
      <c r="E15" s="40" t="s">
        <v>1267</v>
      </c>
      <c r="F15" s="22">
        <v>29000</v>
      </c>
      <c r="G15" s="42">
        <v>300000</v>
      </c>
      <c r="H15" s="23">
        <f>123000+29000</f>
        <v>152000</v>
      </c>
      <c r="I15" s="22">
        <f t="shared" si="1"/>
        <v>148000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1323</v>
      </c>
      <c r="C16" s="28" t="s">
        <v>1324</v>
      </c>
      <c r="D16" s="66" t="s">
        <v>77</v>
      </c>
      <c r="E16" s="40" t="s">
        <v>951</v>
      </c>
      <c r="F16" s="22">
        <v>1057</v>
      </c>
      <c r="G16" s="22">
        <v>10000</v>
      </c>
      <c r="H16" s="23">
        <v>1057</v>
      </c>
      <c r="I16" s="22">
        <f t="shared" ref="I16:I20" si="2">G16-H16</f>
        <v>8943</v>
      </c>
      <c r="J16" s="22" t="s">
        <v>16</v>
      </c>
      <c r="K16" s="24"/>
      <c r="L16" s="25"/>
    </row>
    <row r="17" spans="1:12" ht="15.75" x14ac:dyDescent="0.25">
      <c r="A17" s="20" t="s">
        <v>21</v>
      </c>
      <c r="B17" s="21" t="s">
        <v>1325</v>
      </c>
      <c r="C17" s="28" t="s">
        <v>541</v>
      </c>
      <c r="D17" s="29" t="s">
        <v>1326</v>
      </c>
      <c r="E17" s="40" t="s">
        <v>1027</v>
      </c>
      <c r="F17" s="22">
        <v>17415</v>
      </c>
      <c r="G17" s="22">
        <v>30000</v>
      </c>
      <c r="H17" s="23">
        <v>17415</v>
      </c>
      <c r="I17" s="22">
        <f t="shared" si="2"/>
        <v>12585</v>
      </c>
      <c r="J17" s="22" t="s">
        <v>16</v>
      </c>
      <c r="K17" s="24"/>
      <c r="L17" s="25"/>
    </row>
    <row r="18" spans="1:12" ht="15.75" x14ac:dyDescent="0.25">
      <c r="A18" s="20" t="s">
        <v>30</v>
      </c>
      <c r="B18" s="21" t="s">
        <v>947</v>
      </c>
      <c r="C18" s="28" t="s">
        <v>422</v>
      </c>
      <c r="D18" s="29" t="s">
        <v>48</v>
      </c>
      <c r="E18" s="40" t="s">
        <v>49</v>
      </c>
      <c r="F18" s="22">
        <v>6200</v>
      </c>
      <c r="G18" s="22">
        <v>321000</v>
      </c>
      <c r="H18" s="23">
        <f>44000+6200</f>
        <v>50200</v>
      </c>
      <c r="I18" s="22">
        <f t="shared" si="2"/>
        <v>270800</v>
      </c>
      <c r="J18" s="22" t="s">
        <v>16</v>
      </c>
      <c r="K18" s="24"/>
      <c r="L18" s="25"/>
    </row>
    <row r="19" spans="1:12" ht="15.75" x14ac:dyDescent="0.25">
      <c r="A19" s="20" t="s">
        <v>30</v>
      </c>
      <c r="B19" s="21" t="s">
        <v>1314</v>
      </c>
      <c r="C19" s="28" t="s">
        <v>422</v>
      </c>
      <c r="D19" s="66" t="s">
        <v>48</v>
      </c>
      <c r="E19" s="40" t="s">
        <v>49</v>
      </c>
      <c r="F19" s="22">
        <v>8000</v>
      </c>
      <c r="G19" s="22">
        <v>30000</v>
      </c>
      <c r="H19" s="23">
        <v>8000</v>
      </c>
      <c r="I19" s="22">
        <f t="shared" si="2"/>
        <v>22000</v>
      </c>
      <c r="J19" s="22" t="s">
        <v>16</v>
      </c>
      <c r="K19" s="24"/>
      <c r="L19" s="25"/>
    </row>
    <row r="20" spans="1:12" ht="15.75" x14ac:dyDescent="0.25">
      <c r="A20" s="80" t="s">
        <v>21</v>
      </c>
      <c r="B20" s="81" t="s">
        <v>1089</v>
      </c>
      <c r="C20" s="82" t="s">
        <v>210</v>
      </c>
      <c r="D20" s="83" t="s">
        <v>18</v>
      </c>
      <c r="E20" s="84" t="s">
        <v>427</v>
      </c>
      <c r="F20" s="85">
        <v>21000</v>
      </c>
      <c r="G20" s="86">
        <v>500000</v>
      </c>
      <c r="H20" s="87">
        <f>224000+33000+21000</f>
        <v>278000</v>
      </c>
      <c r="I20" s="85">
        <f t="shared" si="2"/>
        <v>222000</v>
      </c>
      <c r="J20" s="85" t="s">
        <v>16</v>
      </c>
      <c r="K20" s="88"/>
      <c r="L20" s="89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2:L23"/>
  <sheetViews>
    <sheetView workbookViewId="0">
      <pane xSplit="3" topLeftCell="D1" activePane="topRight" state="frozen"/>
      <selection pane="topRight" activeCell="A18" sqref="A18:XFD18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1026</v>
      </c>
      <c r="C4" s="26" t="s">
        <v>541</v>
      </c>
      <c r="D4" s="65" t="s">
        <v>1327</v>
      </c>
      <c r="E4" s="39" t="s">
        <v>1027</v>
      </c>
      <c r="F4" s="16">
        <v>4810</v>
      </c>
      <c r="G4" s="16">
        <v>20000</v>
      </c>
      <c r="H4" s="17">
        <f>4000+20000+4810</f>
        <v>28810</v>
      </c>
      <c r="I4" s="16">
        <f t="shared" ref="I4:I11" si="0">G4-H4</f>
        <v>-8810</v>
      </c>
      <c r="J4" s="16" t="s">
        <v>24</v>
      </c>
      <c r="K4" s="18"/>
      <c r="L4" s="19"/>
    </row>
    <row r="5" spans="1:12" ht="15.75" x14ac:dyDescent="0.25">
      <c r="A5" s="20" t="s">
        <v>30</v>
      </c>
      <c r="B5" s="21" t="s">
        <v>1331</v>
      </c>
      <c r="C5" s="28" t="s">
        <v>1332</v>
      </c>
      <c r="D5" s="66" t="s">
        <v>1289</v>
      </c>
      <c r="E5" s="40" t="s">
        <v>1333</v>
      </c>
      <c r="F5" s="22">
        <v>2000</v>
      </c>
      <c r="G5" s="42">
        <v>20000</v>
      </c>
      <c r="H5" s="23">
        <v>2000</v>
      </c>
      <c r="I5" s="22">
        <f t="shared" si="0"/>
        <v>18000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1308</v>
      </c>
      <c r="C6" s="28" t="s">
        <v>287</v>
      </c>
      <c r="D6" s="66" t="s">
        <v>18</v>
      </c>
      <c r="E6" s="40" t="s">
        <v>424</v>
      </c>
      <c r="F6" s="22">
        <v>1160</v>
      </c>
      <c r="G6" s="42">
        <v>62800</v>
      </c>
      <c r="H6" s="23">
        <f>41379+1160</f>
        <v>42539</v>
      </c>
      <c r="I6" s="22">
        <f t="shared" si="0"/>
        <v>20261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1334</v>
      </c>
      <c r="C7" s="28" t="s">
        <v>1279</v>
      </c>
      <c r="D7" s="66" t="s">
        <v>42</v>
      </c>
      <c r="E7" s="40" t="s">
        <v>1335</v>
      </c>
      <c r="F7" s="22">
        <v>44500</v>
      </c>
      <c r="G7" s="22">
        <v>50000</v>
      </c>
      <c r="H7" s="23">
        <v>44500</v>
      </c>
      <c r="I7" s="22">
        <f>G7-H7</f>
        <v>5500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1315</v>
      </c>
      <c r="C8" s="28" t="s">
        <v>1316</v>
      </c>
      <c r="D8" s="66" t="s">
        <v>18</v>
      </c>
      <c r="E8" s="40" t="s">
        <v>1317</v>
      </c>
      <c r="F8" s="22">
        <v>2350</v>
      </c>
      <c r="G8" s="22">
        <v>10000</v>
      </c>
      <c r="H8" s="23">
        <f>8000+2350</f>
        <v>10350</v>
      </c>
      <c r="I8" s="22">
        <f>G8-H8</f>
        <v>-350</v>
      </c>
      <c r="J8" s="22" t="s">
        <v>24</v>
      </c>
      <c r="K8" s="24"/>
      <c r="L8" s="25"/>
    </row>
    <row r="9" spans="1:12" ht="15.75" x14ac:dyDescent="0.25">
      <c r="A9" s="20" t="s">
        <v>26</v>
      </c>
      <c r="B9" s="21" t="s">
        <v>1318</v>
      </c>
      <c r="C9" s="28" t="s">
        <v>88</v>
      </c>
      <c r="D9" s="29" t="s">
        <v>1319</v>
      </c>
      <c r="E9" s="40" t="s">
        <v>90</v>
      </c>
      <c r="F9" s="22">
        <v>332.9</v>
      </c>
      <c r="G9" s="22">
        <v>1000</v>
      </c>
      <c r="H9" s="23">
        <f>279.1+332.9</f>
        <v>612</v>
      </c>
      <c r="I9" s="22">
        <f>G9-H9</f>
        <v>388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1329</v>
      </c>
      <c r="C10" s="28" t="s">
        <v>1330</v>
      </c>
      <c r="D10" s="66" t="s">
        <v>432</v>
      </c>
      <c r="E10" s="40" t="s">
        <v>458</v>
      </c>
      <c r="F10" s="22">
        <f>3500+1000</f>
        <v>4500</v>
      </c>
      <c r="G10" s="22">
        <v>10000</v>
      </c>
      <c r="H10" s="23">
        <v>4500</v>
      </c>
      <c r="I10" s="22">
        <f t="shared" si="0"/>
        <v>5500</v>
      </c>
      <c r="J10" s="22" t="s">
        <v>16</v>
      </c>
      <c r="K10" s="24"/>
      <c r="L10" s="25"/>
    </row>
    <row r="11" spans="1:12" ht="15.75" x14ac:dyDescent="0.25">
      <c r="A11" s="20" t="s">
        <v>44</v>
      </c>
      <c r="B11" s="21" t="s">
        <v>1089</v>
      </c>
      <c r="C11" s="28" t="s">
        <v>15</v>
      </c>
      <c r="D11" s="29" t="s">
        <v>47</v>
      </c>
      <c r="E11" s="40" t="s">
        <v>50</v>
      </c>
      <c r="F11" s="22">
        <v>30500</v>
      </c>
      <c r="G11" s="42">
        <v>100000</v>
      </c>
      <c r="H11" s="23">
        <f>40000+30500</f>
        <v>70500</v>
      </c>
      <c r="I11" s="22">
        <f t="shared" si="0"/>
        <v>29500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1336</v>
      </c>
      <c r="C12" s="28" t="s">
        <v>15</v>
      </c>
      <c r="D12" s="29" t="s">
        <v>18</v>
      </c>
      <c r="E12" s="40" t="s">
        <v>194</v>
      </c>
      <c r="F12" s="22">
        <v>7000</v>
      </c>
      <c r="G12" s="22">
        <v>10000</v>
      </c>
      <c r="H12" s="23">
        <v>7000</v>
      </c>
      <c r="I12" s="22">
        <f>G12-H12</f>
        <v>3000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1337</v>
      </c>
      <c r="C13" s="28" t="s">
        <v>34</v>
      </c>
      <c r="D13" s="66" t="s">
        <v>18</v>
      </c>
      <c r="E13" s="40" t="s">
        <v>1196</v>
      </c>
      <c r="F13" s="22">
        <f>8000+11250</f>
        <v>19250</v>
      </c>
      <c r="G13" s="22">
        <v>150000</v>
      </c>
      <c r="H13" s="23">
        <v>84670</v>
      </c>
      <c r="I13" s="22">
        <f>G13-H13</f>
        <v>65330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1338</v>
      </c>
      <c r="C14" s="28" t="s">
        <v>15</v>
      </c>
      <c r="D14" s="29" t="s">
        <v>240</v>
      </c>
      <c r="E14" s="40" t="s">
        <v>72</v>
      </c>
      <c r="F14" s="22">
        <v>116.7</v>
      </c>
      <c r="G14" s="42">
        <v>2000</v>
      </c>
      <c r="H14" s="23">
        <v>116.7</v>
      </c>
      <c r="I14" s="22">
        <f t="shared" ref="I14:I21" si="1">G14-H14</f>
        <v>1883.3</v>
      </c>
      <c r="J14" s="22" t="s">
        <v>16</v>
      </c>
      <c r="K14" s="24"/>
      <c r="L14" s="25"/>
    </row>
    <row r="15" spans="1:12" ht="15.75" x14ac:dyDescent="0.25">
      <c r="A15" s="20" t="s">
        <v>40</v>
      </c>
      <c r="B15" s="21" t="s">
        <v>1144</v>
      </c>
      <c r="C15" s="28" t="s">
        <v>62</v>
      </c>
      <c r="D15" s="66" t="s">
        <v>54</v>
      </c>
      <c r="E15" s="40" t="s">
        <v>1267</v>
      </c>
      <c r="F15" s="22">
        <v>30000</v>
      </c>
      <c r="G15" s="42">
        <v>300000</v>
      </c>
      <c r="H15" s="23">
        <f>123000+29000+30000</f>
        <v>182000</v>
      </c>
      <c r="I15" s="22">
        <f t="shared" si="1"/>
        <v>118000</v>
      </c>
      <c r="J15" s="22" t="s">
        <v>16</v>
      </c>
      <c r="K15" s="24"/>
      <c r="L15" s="25"/>
    </row>
    <row r="16" spans="1:12" ht="15.75" x14ac:dyDescent="0.25">
      <c r="A16" s="20" t="s">
        <v>22</v>
      </c>
      <c r="B16" s="21" t="s">
        <v>1273</v>
      </c>
      <c r="C16" s="28" t="s">
        <v>1125</v>
      </c>
      <c r="D16" s="66" t="s">
        <v>1126</v>
      </c>
      <c r="E16" s="40" t="s">
        <v>657</v>
      </c>
      <c r="F16" s="22">
        <v>391</v>
      </c>
      <c r="G16" s="22">
        <v>400</v>
      </c>
      <c r="H16" s="23">
        <v>391</v>
      </c>
      <c r="I16" s="22">
        <f t="shared" si="1"/>
        <v>9</v>
      </c>
      <c r="J16" s="22" t="s">
        <v>23</v>
      </c>
      <c r="K16" s="24"/>
      <c r="L16" s="25"/>
    </row>
    <row r="17" spans="1:12" ht="15.75" x14ac:dyDescent="0.25">
      <c r="A17" s="20" t="s">
        <v>22</v>
      </c>
      <c r="B17" s="21" t="s">
        <v>1169</v>
      </c>
      <c r="C17" s="28" t="s">
        <v>1235</v>
      </c>
      <c r="D17" s="66" t="s">
        <v>1076</v>
      </c>
      <c r="E17" s="40" t="s">
        <v>1339</v>
      </c>
      <c r="F17" s="22">
        <v>32.200000000000003</v>
      </c>
      <c r="G17" s="22">
        <v>500</v>
      </c>
      <c r="H17" s="23">
        <v>32.200000000000003</v>
      </c>
      <c r="I17" s="22">
        <f t="shared" si="1"/>
        <v>467.8</v>
      </c>
      <c r="J17" s="22" t="s">
        <v>16</v>
      </c>
      <c r="K17" s="24"/>
      <c r="L17" s="25"/>
    </row>
    <row r="18" spans="1:12" ht="15.75" x14ac:dyDescent="0.25">
      <c r="A18" s="20" t="s">
        <v>17</v>
      </c>
      <c r="B18" s="21" t="s">
        <v>1310</v>
      </c>
      <c r="C18" s="28" t="s">
        <v>15</v>
      </c>
      <c r="D18" s="29" t="s">
        <v>1340</v>
      </c>
      <c r="E18" s="40" t="s">
        <v>1341</v>
      </c>
      <c r="F18" s="22">
        <v>800</v>
      </c>
      <c r="G18" s="22">
        <v>10000</v>
      </c>
      <c r="H18" s="23">
        <v>2850</v>
      </c>
      <c r="I18" s="22">
        <f t="shared" si="1"/>
        <v>7150</v>
      </c>
      <c r="J18" s="22" t="s">
        <v>16</v>
      </c>
      <c r="K18" s="24"/>
      <c r="L18" s="25"/>
    </row>
    <row r="19" spans="1:12" ht="15.75" x14ac:dyDescent="0.25">
      <c r="A19" s="20" t="s">
        <v>82</v>
      </c>
      <c r="B19" s="21" t="s">
        <v>1306</v>
      </c>
      <c r="C19" s="28" t="s">
        <v>15</v>
      </c>
      <c r="D19" s="66" t="s">
        <v>91</v>
      </c>
      <c r="E19" s="40" t="s">
        <v>81</v>
      </c>
      <c r="F19" s="22">
        <v>185</v>
      </c>
      <c r="G19" s="22">
        <v>2000</v>
      </c>
      <c r="H19" s="23">
        <f>505+185</f>
        <v>690</v>
      </c>
      <c r="I19" s="22">
        <f t="shared" si="1"/>
        <v>1310</v>
      </c>
      <c r="J19" s="22" t="s">
        <v>16</v>
      </c>
      <c r="K19" s="24"/>
      <c r="L19" s="25"/>
    </row>
    <row r="20" spans="1:12" ht="15.75" x14ac:dyDescent="0.25">
      <c r="A20" s="20" t="s">
        <v>30</v>
      </c>
      <c r="B20" s="21" t="s">
        <v>1314</v>
      </c>
      <c r="C20" s="28" t="s">
        <v>422</v>
      </c>
      <c r="D20" s="66" t="s">
        <v>48</v>
      </c>
      <c r="E20" s="40" t="s">
        <v>49</v>
      </c>
      <c r="F20" s="22">
        <v>24700</v>
      </c>
      <c r="G20" s="22">
        <v>30000</v>
      </c>
      <c r="H20" s="23">
        <f>8000+24700</f>
        <v>32700</v>
      </c>
      <c r="I20" s="22">
        <f t="shared" si="1"/>
        <v>-2700</v>
      </c>
      <c r="J20" s="22" t="s">
        <v>24</v>
      </c>
      <c r="K20" s="24"/>
      <c r="L20" s="25"/>
    </row>
    <row r="21" spans="1:12" ht="15.75" x14ac:dyDescent="0.25">
      <c r="A21" s="80" t="s">
        <v>21</v>
      </c>
      <c r="B21" s="81" t="s">
        <v>1089</v>
      </c>
      <c r="C21" s="82" t="s">
        <v>210</v>
      </c>
      <c r="D21" s="83" t="s">
        <v>18</v>
      </c>
      <c r="E21" s="84" t="s">
        <v>427</v>
      </c>
      <c r="F21" s="85">
        <v>47500</v>
      </c>
      <c r="G21" s="86">
        <v>500000</v>
      </c>
      <c r="H21" s="87">
        <f>224000+33000+21000+47500</f>
        <v>325500</v>
      </c>
      <c r="I21" s="85">
        <f t="shared" si="1"/>
        <v>174500</v>
      </c>
      <c r="J21" s="85" t="s">
        <v>16</v>
      </c>
      <c r="K21" s="88"/>
      <c r="L21" s="89"/>
    </row>
    <row r="22" spans="1:12" ht="16.5" thickBot="1" x14ac:dyDescent="0.3">
      <c r="A22" s="43"/>
      <c r="B22" s="44"/>
      <c r="C22" s="45"/>
      <c r="D22" s="67"/>
      <c r="E22" s="47"/>
      <c r="F22" s="48"/>
      <c r="G22" s="62"/>
      <c r="H22" s="49"/>
      <c r="I22" s="48"/>
      <c r="J22" s="48"/>
      <c r="K22" s="50"/>
      <c r="L22" s="51"/>
    </row>
    <row r="23" spans="1:12" ht="16.5" thickBot="1" x14ac:dyDescent="0.3">
      <c r="A23" s="71"/>
      <c r="B23" s="72"/>
      <c r="C23" s="73"/>
      <c r="D23" s="74"/>
      <c r="E23" s="75"/>
      <c r="F23" s="76"/>
      <c r="G23" s="76"/>
      <c r="H23" s="77"/>
      <c r="I23" s="76"/>
      <c r="J23" s="76"/>
      <c r="K23" s="78"/>
      <c r="L23" s="79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2:L22"/>
  <sheetViews>
    <sheetView workbookViewId="0">
      <pane xSplit="3" topLeftCell="D1" activePane="topRight" state="frozen"/>
      <selection pane="topRight" activeCell="A15" sqref="A15:XFD1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1342</v>
      </c>
      <c r="C4" s="26" t="s">
        <v>1343</v>
      </c>
      <c r="D4" s="65" t="s">
        <v>1344</v>
      </c>
      <c r="E4" s="39" t="s">
        <v>1345</v>
      </c>
      <c r="F4" s="16">
        <v>10630</v>
      </c>
      <c r="G4" s="16">
        <v>28000</v>
      </c>
      <c r="H4" s="17">
        <v>10630</v>
      </c>
      <c r="I4" s="16">
        <f t="shared" ref="I4:I11" si="0">G4-H4</f>
        <v>17370</v>
      </c>
      <c r="J4" s="16" t="s">
        <v>16</v>
      </c>
      <c r="K4" s="18"/>
      <c r="L4" s="19"/>
    </row>
    <row r="5" spans="1:12" ht="15.75" x14ac:dyDescent="0.25">
      <c r="A5" s="20" t="s">
        <v>30</v>
      </c>
      <c r="B5" s="21" t="s">
        <v>1331</v>
      </c>
      <c r="C5" s="28" t="s">
        <v>1332</v>
      </c>
      <c r="D5" s="66" t="s">
        <v>1289</v>
      </c>
      <c r="E5" s="40" t="s">
        <v>1333</v>
      </c>
      <c r="F5" s="22">
        <v>11000</v>
      </c>
      <c r="G5" s="42">
        <v>20000</v>
      </c>
      <c r="H5" s="23">
        <v>18000</v>
      </c>
      <c r="I5" s="22">
        <f t="shared" si="0"/>
        <v>2000</v>
      </c>
      <c r="J5" s="22" t="s">
        <v>16</v>
      </c>
      <c r="K5" s="24"/>
      <c r="L5" s="25"/>
    </row>
    <row r="6" spans="1:12" ht="15.75" x14ac:dyDescent="0.25">
      <c r="A6" s="20" t="s">
        <v>40</v>
      </c>
      <c r="B6" s="21" t="s">
        <v>1089</v>
      </c>
      <c r="C6" s="28" t="s">
        <v>15</v>
      </c>
      <c r="D6" s="66" t="s">
        <v>68</v>
      </c>
      <c r="E6" s="40" t="s">
        <v>69</v>
      </c>
      <c r="F6" s="22">
        <v>20000</v>
      </c>
      <c r="G6" s="42">
        <v>1000000</v>
      </c>
      <c r="H6" s="23">
        <v>20000</v>
      </c>
      <c r="I6" s="22">
        <f t="shared" si="0"/>
        <v>980000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1347</v>
      </c>
      <c r="C7" s="28" t="s">
        <v>363</v>
      </c>
      <c r="D7" s="66" t="s">
        <v>364</v>
      </c>
      <c r="E7" s="40" t="s">
        <v>365</v>
      </c>
      <c r="F7" s="22">
        <v>3500</v>
      </c>
      <c r="G7" s="22">
        <v>10000</v>
      </c>
      <c r="H7" s="23">
        <v>3500</v>
      </c>
      <c r="I7" s="22">
        <f>G7-H7</f>
        <v>6500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1089</v>
      </c>
      <c r="C8" s="28" t="s">
        <v>15</v>
      </c>
      <c r="D8" s="66" t="s">
        <v>18</v>
      </c>
      <c r="E8" s="40" t="s">
        <v>1348</v>
      </c>
      <c r="F8" s="22">
        <v>9000</v>
      </c>
      <c r="G8" s="22">
        <v>100000</v>
      </c>
      <c r="H8" s="23">
        <v>9000</v>
      </c>
      <c r="I8" s="22">
        <f>G8-H8</f>
        <v>91000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1349</v>
      </c>
      <c r="C9" s="28" t="s">
        <v>66</v>
      </c>
      <c r="D9" s="29" t="s">
        <v>27</v>
      </c>
      <c r="E9" s="40" t="s">
        <v>1350</v>
      </c>
      <c r="F9" s="22">
        <v>25938</v>
      </c>
      <c r="G9" s="22">
        <v>35000</v>
      </c>
      <c r="H9" s="23">
        <v>25938</v>
      </c>
      <c r="I9" s="22">
        <f>G9-H9</f>
        <v>9062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1329</v>
      </c>
      <c r="C10" s="28" t="s">
        <v>1330</v>
      </c>
      <c r="D10" s="66" t="s">
        <v>432</v>
      </c>
      <c r="E10" s="40" t="s">
        <v>458</v>
      </c>
      <c r="F10" s="22">
        <v>4000</v>
      </c>
      <c r="G10" s="22">
        <v>10000</v>
      </c>
      <c r="H10" s="23">
        <f>4500+4000</f>
        <v>8500</v>
      </c>
      <c r="I10" s="22">
        <f t="shared" si="0"/>
        <v>1500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1346</v>
      </c>
      <c r="C11" s="28" t="s">
        <v>363</v>
      </c>
      <c r="D11" s="29" t="s">
        <v>42</v>
      </c>
      <c r="E11" s="40" t="s">
        <v>365</v>
      </c>
      <c r="F11" s="22">
        <f>2000+8435</f>
        <v>10435</v>
      </c>
      <c r="G11" s="42">
        <v>10000</v>
      </c>
      <c r="H11" s="23">
        <v>10435</v>
      </c>
      <c r="I11" s="22">
        <f t="shared" si="0"/>
        <v>-435</v>
      </c>
      <c r="J11" s="22" t="s">
        <v>24</v>
      </c>
      <c r="K11" s="24"/>
      <c r="L11" s="25"/>
    </row>
    <row r="12" spans="1:12" ht="15.75" x14ac:dyDescent="0.25">
      <c r="A12" s="20" t="s">
        <v>14</v>
      </c>
      <c r="B12" s="21" t="s">
        <v>1336</v>
      </c>
      <c r="C12" s="28" t="s">
        <v>15</v>
      </c>
      <c r="D12" s="29" t="s">
        <v>18</v>
      </c>
      <c r="E12" s="40" t="s">
        <v>194</v>
      </c>
      <c r="F12" s="22">
        <v>9100</v>
      </c>
      <c r="G12" s="22">
        <v>10000</v>
      </c>
      <c r="H12" s="23">
        <v>9100</v>
      </c>
      <c r="I12" s="22">
        <f>G12-H12</f>
        <v>900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1337</v>
      </c>
      <c r="C13" s="28" t="s">
        <v>34</v>
      </c>
      <c r="D13" s="66" t="s">
        <v>18</v>
      </c>
      <c r="E13" s="40" t="s">
        <v>1196</v>
      </c>
      <c r="F13" s="22">
        <f>9250+0</f>
        <v>9250</v>
      </c>
      <c r="G13" s="22">
        <v>150000</v>
      </c>
      <c r="H13" s="23">
        <f>84670+9250</f>
        <v>93920</v>
      </c>
      <c r="I13" s="22">
        <f>G13-H13</f>
        <v>56080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1338</v>
      </c>
      <c r="C14" s="28" t="s">
        <v>15</v>
      </c>
      <c r="D14" s="29" t="s">
        <v>240</v>
      </c>
      <c r="E14" s="40" t="s">
        <v>72</v>
      </c>
      <c r="F14" s="22">
        <v>1142.9000000000001</v>
      </c>
      <c r="G14" s="42">
        <v>2000</v>
      </c>
      <c r="H14" s="23">
        <f>116.7+1142.9</f>
        <v>1259.6000000000001</v>
      </c>
      <c r="I14" s="22">
        <f t="shared" ref="I14:I20" si="1">G14-H14</f>
        <v>740.39999999999986</v>
      </c>
      <c r="J14" s="22" t="s">
        <v>16</v>
      </c>
      <c r="K14" s="24"/>
      <c r="L14" s="25"/>
    </row>
    <row r="15" spans="1:12" ht="15.75" x14ac:dyDescent="0.25">
      <c r="A15" s="20" t="s">
        <v>40</v>
      </c>
      <c r="B15" s="21" t="s">
        <v>1144</v>
      </c>
      <c r="C15" s="28" t="s">
        <v>62</v>
      </c>
      <c r="D15" s="66" t="s">
        <v>54</v>
      </c>
      <c r="E15" s="40" t="s">
        <v>1267</v>
      </c>
      <c r="F15" s="22">
        <v>25000</v>
      </c>
      <c r="G15" s="42">
        <v>300000</v>
      </c>
      <c r="H15" s="23">
        <f>123000+29000+30000+25000</f>
        <v>207000</v>
      </c>
      <c r="I15" s="22">
        <f t="shared" si="1"/>
        <v>93000</v>
      </c>
      <c r="J15" s="22" t="s">
        <v>16</v>
      </c>
      <c r="K15" s="24"/>
      <c r="L15" s="25"/>
    </row>
    <row r="16" spans="1:12" ht="15.75" x14ac:dyDescent="0.25">
      <c r="A16" s="20" t="s">
        <v>30</v>
      </c>
      <c r="B16" s="21" t="s">
        <v>1351</v>
      </c>
      <c r="C16" s="28" t="s">
        <v>36</v>
      </c>
      <c r="D16" s="66" t="s">
        <v>37</v>
      </c>
      <c r="E16" s="40" t="s">
        <v>313</v>
      </c>
      <c r="F16" s="22">
        <v>20000</v>
      </c>
      <c r="G16" s="22">
        <v>31000</v>
      </c>
      <c r="H16" s="23">
        <v>20000</v>
      </c>
      <c r="I16" s="22">
        <f t="shared" si="1"/>
        <v>11000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1352</v>
      </c>
      <c r="C17" s="28" t="s">
        <v>1353</v>
      </c>
      <c r="D17" s="66" t="s">
        <v>1340</v>
      </c>
      <c r="E17" s="40" t="s">
        <v>1354</v>
      </c>
      <c r="F17" s="22">
        <v>2000</v>
      </c>
      <c r="G17" s="22">
        <v>5000</v>
      </c>
      <c r="H17" s="23">
        <v>2000</v>
      </c>
      <c r="I17" s="22">
        <f t="shared" si="1"/>
        <v>3000</v>
      </c>
      <c r="J17" s="22" t="s">
        <v>16</v>
      </c>
      <c r="K17" s="24"/>
      <c r="L17" s="25"/>
    </row>
    <row r="18" spans="1:12" ht="15.75" x14ac:dyDescent="0.25">
      <c r="A18" s="20" t="s">
        <v>14</v>
      </c>
      <c r="B18" s="21" t="s">
        <v>1355</v>
      </c>
      <c r="C18" s="28" t="s">
        <v>15</v>
      </c>
      <c r="D18" s="29" t="s">
        <v>18</v>
      </c>
      <c r="E18" s="40" t="s">
        <v>807</v>
      </c>
      <c r="F18" s="22">
        <v>2500</v>
      </c>
      <c r="G18" s="22">
        <v>50000</v>
      </c>
      <c r="H18" s="23">
        <v>2500</v>
      </c>
      <c r="I18" s="22">
        <f t="shared" si="1"/>
        <v>47500</v>
      </c>
      <c r="J18" s="22" t="s">
        <v>16</v>
      </c>
      <c r="K18" s="24"/>
      <c r="L18" s="25"/>
    </row>
    <row r="19" spans="1:12" ht="15.75" x14ac:dyDescent="0.25">
      <c r="A19" s="20" t="s">
        <v>19</v>
      </c>
      <c r="B19" s="21" t="s">
        <v>1233</v>
      </c>
      <c r="C19" s="28" t="s">
        <v>15</v>
      </c>
      <c r="D19" s="66" t="s">
        <v>18</v>
      </c>
      <c r="E19" s="40" t="s">
        <v>1234</v>
      </c>
      <c r="F19" s="22">
        <v>1180</v>
      </c>
      <c r="G19" s="22">
        <v>10000</v>
      </c>
      <c r="H19" s="23">
        <v>1180</v>
      </c>
      <c r="I19" s="22">
        <f t="shared" si="1"/>
        <v>8820</v>
      </c>
      <c r="J19" s="22" t="s">
        <v>16</v>
      </c>
      <c r="K19" s="24"/>
      <c r="L19" s="25"/>
    </row>
    <row r="20" spans="1:12" ht="15.75" x14ac:dyDescent="0.25">
      <c r="A20" s="80" t="s">
        <v>21</v>
      </c>
      <c r="B20" s="81" t="s">
        <v>1089</v>
      </c>
      <c r="C20" s="82" t="s">
        <v>210</v>
      </c>
      <c r="D20" s="83" t="s">
        <v>18</v>
      </c>
      <c r="E20" s="84" t="s">
        <v>427</v>
      </c>
      <c r="F20" s="85">
        <v>42000</v>
      </c>
      <c r="G20" s="86">
        <v>500000</v>
      </c>
      <c r="H20" s="87">
        <f>224000+33000+21000+47500+42000</f>
        <v>367500</v>
      </c>
      <c r="I20" s="85">
        <f t="shared" si="1"/>
        <v>132500</v>
      </c>
      <c r="J20" s="85" t="s">
        <v>16</v>
      </c>
      <c r="K20" s="88"/>
      <c r="L20" s="89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2:L21"/>
  <sheetViews>
    <sheetView workbookViewId="0">
      <pane xSplit="3" topLeftCell="F1" activePane="topRight" state="frozen"/>
      <selection pane="topRight" activeCell="C9" sqref="C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1356</v>
      </c>
      <c r="C4" s="26" t="s">
        <v>210</v>
      </c>
      <c r="D4" s="65" t="s">
        <v>211</v>
      </c>
      <c r="E4" s="39" t="s">
        <v>212</v>
      </c>
      <c r="F4" s="16">
        <v>709.8</v>
      </c>
      <c r="G4" s="16">
        <v>6000</v>
      </c>
      <c r="H4" s="17">
        <v>709.8</v>
      </c>
      <c r="I4" s="16">
        <f t="shared" ref="I4:I6" si="0">G4-H4</f>
        <v>5290.2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1323</v>
      </c>
      <c r="C5" s="28" t="s">
        <v>1324</v>
      </c>
      <c r="D5" s="66" t="s">
        <v>1357</v>
      </c>
      <c r="E5" s="40" t="s">
        <v>951</v>
      </c>
      <c r="F5" s="22">
        <v>4175</v>
      </c>
      <c r="G5" s="22">
        <v>10000</v>
      </c>
      <c r="H5" s="23">
        <f>1057+4175</f>
        <v>5232</v>
      </c>
      <c r="I5" s="22">
        <f t="shared" si="0"/>
        <v>4768</v>
      </c>
      <c r="J5" s="22" t="s">
        <v>16</v>
      </c>
      <c r="K5" s="24"/>
      <c r="L5" s="25"/>
    </row>
    <row r="6" spans="1:12" ht="15.75" x14ac:dyDescent="0.25">
      <c r="A6" s="20" t="s">
        <v>40</v>
      </c>
      <c r="B6" s="21" t="s">
        <v>1089</v>
      </c>
      <c r="C6" s="28" t="s">
        <v>15</v>
      </c>
      <c r="D6" s="66" t="s">
        <v>68</v>
      </c>
      <c r="E6" s="40" t="s">
        <v>69</v>
      </c>
      <c r="F6" s="22">
        <v>30000</v>
      </c>
      <c r="G6" s="42">
        <v>1000000</v>
      </c>
      <c r="H6" s="23">
        <f>20000+30000</f>
        <v>50000</v>
      </c>
      <c r="I6" s="22">
        <f t="shared" si="0"/>
        <v>950000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1347</v>
      </c>
      <c r="C7" s="28" t="s">
        <v>363</v>
      </c>
      <c r="D7" s="66" t="s">
        <v>364</v>
      </c>
      <c r="E7" s="40" t="s">
        <v>365</v>
      </c>
      <c r="F7" s="22">
        <v>14215</v>
      </c>
      <c r="G7" s="22">
        <v>10000</v>
      </c>
      <c r="H7" s="23">
        <f>3500+14215</f>
        <v>17715</v>
      </c>
      <c r="I7" s="22">
        <f>G7-H7</f>
        <v>-7715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1358</v>
      </c>
      <c r="C8" s="28" t="s">
        <v>41</v>
      </c>
      <c r="D8" s="66" t="s">
        <v>1359</v>
      </c>
      <c r="E8" s="40" t="s">
        <v>122</v>
      </c>
      <c r="F8" s="22">
        <v>32000</v>
      </c>
      <c r="G8" s="22">
        <v>87000</v>
      </c>
      <c r="H8" s="23">
        <v>32000</v>
      </c>
      <c r="I8" s="22">
        <f>G8-H8</f>
        <v>55000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1349</v>
      </c>
      <c r="C9" s="28" t="s">
        <v>66</v>
      </c>
      <c r="D9" s="29" t="s">
        <v>27</v>
      </c>
      <c r="E9" s="40" t="s">
        <v>1350</v>
      </c>
      <c r="F9" s="22">
        <v>4870</v>
      </c>
      <c r="G9" s="22">
        <v>35000</v>
      </c>
      <c r="H9" s="23">
        <f>25938+4870</f>
        <v>30808</v>
      </c>
      <c r="I9" s="22">
        <f>G9-H9</f>
        <v>4192</v>
      </c>
      <c r="J9" s="22" t="s">
        <v>16</v>
      </c>
      <c r="K9" s="24"/>
      <c r="L9" s="25"/>
    </row>
    <row r="10" spans="1:12" ht="15.75" x14ac:dyDescent="0.25">
      <c r="A10" s="20" t="s">
        <v>30</v>
      </c>
      <c r="B10" s="21" t="s">
        <v>1351</v>
      </c>
      <c r="C10" s="28" t="s">
        <v>36</v>
      </c>
      <c r="D10" s="66" t="s">
        <v>37</v>
      </c>
      <c r="E10" s="40" t="s">
        <v>313</v>
      </c>
      <c r="F10" s="22">
        <v>12000</v>
      </c>
      <c r="G10" s="22">
        <v>31000</v>
      </c>
      <c r="H10" s="23">
        <f>20000+12000</f>
        <v>32000</v>
      </c>
      <c r="I10" s="22">
        <f t="shared" ref="I10:I11" si="1">G10-H10</f>
        <v>-1000</v>
      </c>
      <c r="J10" s="22" t="s">
        <v>24</v>
      </c>
      <c r="K10" s="24"/>
      <c r="L10" s="25"/>
    </row>
    <row r="11" spans="1:12" ht="15.75" x14ac:dyDescent="0.25">
      <c r="A11" s="20" t="s">
        <v>44</v>
      </c>
      <c r="B11" s="21" t="s">
        <v>1089</v>
      </c>
      <c r="C11" s="28" t="s">
        <v>15</v>
      </c>
      <c r="D11" s="29" t="s">
        <v>47</v>
      </c>
      <c r="E11" s="40" t="s">
        <v>50</v>
      </c>
      <c r="F11" s="22">
        <v>16750</v>
      </c>
      <c r="G11" s="42">
        <v>100000</v>
      </c>
      <c r="H11" s="23">
        <f>40000+30500+16750</f>
        <v>87250</v>
      </c>
      <c r="I11" s="22">
        <f t="shared" si="1"/>
        <v>12750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1360</v>
      </c>
      <c r="C12" s="28" t="s">
        <v>1305</v>
      </c>
      <c r="D12" s="29" t="s">
        <v>405</v>
      </c>
      <c r="E12" s="40" t="s">
        <v>194</v>
      </c>
      <c r="F12" s="22">
        <v>9100</v>
      </c>
      <c r="G12" s="22">
        <v>10000</v>
      </c>
      <c r="H12" s="23">
        <v>9100</v>
      </c>
      <c r="I12" s="22">
        <f>G12-H12</f>
        <v>900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1337</v>
      </c>
      <c r="C13" s="28" t="s">
        <v>34</v>
      </c>
      <c r="D13" s="66" t="s">
        <v>18</v>
      </c>
      <c r="E13" s="40" t="s">
        <v>1196</v>
      </c>
      <c r="F13" s="22">
        <v>4000</v>
      </c>
      <c r="G13" s="22">
        <v>150000</v>
      </c>
      <c r="H13" s="23">
        <f>84670+9250+4000</f>
        <v>97920</v>
      </c>
      <c r="I13" s="22">
        <f>G13-H13</f>
        <v>52080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1211</v>
      </c>
      <c r="C14" s="28" t="s">
        <v>1166</v>
      </c>
      <c r="D14" s="29" t="s">
        <v>1171</v>
      </c>
      <c r="E14" s="40" t="s">
        <v>704</v>
      </c>
      <c r="F14" s="22">
        <v>842</v>
      </c>
      <c r="G14" s="42">
        <v>10000</v>
      </c>
      <c r="H14" s="23">
        <f>1500+250+572+842</f>
        <v>3164</v>
      </c>
      <c r="I14" s="22">
        <f t="shared" ref="I14" si="2">G14-H14</f>
        <v>6836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1352</v>
      </c>
      <c r="C15" s="28" t="s">
        <v>1353</v>
      </c>
      <c r="D15" s="66" t="s">
        <v>1340</v>
      </c>
      <c r="E15" s="40" t="s">
        <v>1354</v>
      </c>
      <c r="F15" s="22">
        <v>5470</v>
      </c>
      <c r="G15" s="22">
        <v>5000</v>
      </c>
      <c r="H15" s="23">
        <v>5470</v>
      </c>
      <c r="I15" s="22">
        <f t="shared" ref="I15:I19" si="3">G15-H15</f>
        <v>-470</v>
      </c>
      <c r="J15" s="22" t="s">
        <v>24</v>
      </c>
      <c r="K15" s="24"/>
      <c r="L15" s="25"/>
    </row>
    <row r="16" spans="1:12" ht="15.75" x14ac:dyDescent="0.25">
      <c r="A16" s="20" t="s">
        <v>14</v>
      </c>
      <c r="B16" s="21" t="s">
        <v>1355</v>
      </c>
      <c r="C16" s="28" t="s">
        <v>15</v>
      </c>
      <c r="D16" s="29" t="s">
        <v>18</v>
      </c>
      <c r="E16" s="40" t="s">
        <v>807</v>
      </c>
      <c r="F16" s="22">
        <v>1500</v>
      </c>
      <c r="G16" s="22">
        <v>50000</v>
      </c>
      <c r="H16" s="23">
        <f>2500+1500</f>
        <v>4000</v>
      </c>
      <c r="I16" s="22">
        <f t="shared" si="3"/>
        <v>46000</v>
      </c>
      <c r="J16" s="22" t="s">
        <v>16</v>
      </c>
      <c r="K16" s="24"/>
      <c r="L16" s="25"/>
    </row>
    <row r="17" spans="1:12" ht="15.75" x14ac:dyDescent="0.25">
      <c r="A17" s="20" t="s">
        <v>1367</v>
      </c>
      <c r="B17" s="21" t="s">
        <v>1368</v>
      </c>
      <c r="C17" s="28" t="s">
        <v>15</v>
      </c>
      <c r="D17" s="29" t="s">
        <v>551</v>
      </c>
      <c r="E17" s="40" t="s">
        <v>1369</v>
      </c>
      <c r="F17" s="22">
        <v>100</v>
      </c>
      <c r="G17" s="22">
        <v>100</v>
      </c>
      <c r="H17" s="23">
        <v>100</v>
      </c>
      <c r="I17" s="22">
        <f>G17-H17</f>
        <v>0</v>
      </c>
      <c r="J17" s="22" t="s">
        <v>23</v>
      </c>
      <c r="K17" s="24"/>
      <c r="L17" s="25"/>
    </row>
    <row r="18" spans="1:12" ht="15.75" x14ac:dyDescent="0.25">
      <c r="A18" s="20" t="s">
        <v>30</v>
      </c>
      <c r="B18" s="21" t="s">
        <v>947</v>
      </c>
      <c r="C18" s="28" t="s">
        <v>422</v>
      </c>
      <c r="D18" s="29" t="s">
        <v>48</v>
      </c>
      <c r="E18" s="40" t="s">
        <v>49</v>
      </c>
      <c r="F18" s="22">
        <v>16000</v>
      </c>
      <c r="G18" s="22">
        <v>321000</v>
      </c>
      <c r="H18" s="23">
        <f>44000+6200+16000</f>
        <v>66200</v>
      </c>
      <c r="I18" s="22">
        <f t="shared" si="3"/>
        <v>254800</v>
      </c>
      <c r="J18" s="22" t="s">
        <v>16</v>
      </c>
      <c r="K18" s="24"/>
      <c r="L18" s="25"/>
    </row>
    <row r="19" spans="1:12" ht="15.75" x14ac:dyDescent="0.25">
      <c r="A19" s="80" t="s">
        <v>21</v>
      </c>
      <c r="B19" s="81" t="s">
        <v>1089</v>
      </c>
      <c r="C19" s="82" t="s">
        <v>210</v>
      </c>
      <c r="D19" s="83" t="s">
        <v>18</v>
      </c>
      <c r="E19" s="84" t="s">
        <v>427</v>
      </c>
      <c r="F19" s="85">
        <v>44850</v>
      </c>
      <c r="G19" s="86">
        <v>500000</v>
      </c>
      <c r="H19" s="87">
        <f>224000+33000+21000+47500+42000+44850</f>
        <v>412350</v>
      </c>
      <c r="I19" s="85">
        <f t="shared" si="3"/>
        <v>87650</v>
      </c>
      <c r="J19" s="85" t="s">
        <v>16</v>
      </c>
      <c r="K19" s="88"/>
      <c r="L19" s="89"/>
    </row>
    <row r="20" spans="1:12" ht="16.5" thickBot="1" x14ac:dyDescent="0.3">
      <c r="A20" s="43"/>
      <c r="B20" s="44"/>
      <c r="C20" s="45"/>
      <c r="D20" s="67"/>
      <c r="E20" s="47"/>
      <c r="F20" s="48"/>
      <c r="G20" s="62"/>
      <c r="H20" s="49"/>
      <c r="I20" s="48"/>
      <c r="J20" s="48"/>
      <c r="K20" s="50"/>
      <c r="L20" s="51"/>
    </row>
    <row r="21" spans="1:12" ht="16.5" thickBot="1" x14ac:dyDescent="0.3">
      <c r="A21" s="71"/>
      <c r="B21" s="72"/>
      <c r="C21" s="73"/>
      <c r="D21" s="74"/>
      <c r="E21" s="75"/>
      <c r="F21" s="76"/>
      <c r="G21" s="76"/>
      <c r="H21" s="77"/>
      <c r="I21" s="76"/>
      <c r="J21" s="76"/>
      <c r="K21" s="78"/>
      <c r="L21" s="79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2:L16"/>
  <sheetViews>
    <sheetView workbookViewId="0">
      <pane xSplit="3" topLeftCell="F1" activePane="topRight" state="frozen"/>
      <selection pane="topRight" activeCell="A5" sqref="A5:XFD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1356</v>
      </c>
      <c r="C4" s="26" t="s">
        <v>210</v>
      </c>
      <c r="D4" s="65" t="s">
        <v>211</v>
      </c>
      <c r="E4" s="39" t="s">
        <v>212</v>
      </c>
      <c r="F4" s="16">
        <v>1523.3</v>
      </c>
      <c r="G4" s="16">
        <v>6000</v>
      </c>
      <c r="H4" s="17">
        <f>709.8+1523.3</f>
        <v>2233.1</v>
      </c>
      <c r="I4" s="16">
        <f t="shared" ref="I4:I6" si="0">G4-H4</f>
        <v>3766.9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1323</v>
      </c>
      <c r="C5" s="28" t="s">
        <v>1324</v>
      </c>
      <c r="D5" s="66" t="s">
        <v>1357</v>
      </c>
      <c r="E5" s="40" t="s">
        <v>951</v>
      </c>
      <c r="F5" s="22">
        <v>3625</v>
      </c>
      <c r="G5" s="22">
        <v>10000</v>
      </c>
      <c r="H5" s="23">
        <f>1057+4175+3625+943</f>
        <v>9800</v>
      </c>
      <c r="I5" s="22">
        <f t="shared" si="0"/>
        <v>200</v>
      </c>
      <c r="J5" s="22" t="s">
        <v>16</v>
      </c>
      <c r="K5" s="24"/>
      <c r="L5" s="25"/>
    </row>
    <row r="6" spans="1:12" ht="15.75" x14ac:dyDescent="0.25">
      <c r="A6" s="20" t="s">
        <v>40</v>
      </c>
      <c r="B6" s="21" t="s">
        <v>1089</v>
      </c>
      <c r="C6" s="28" t="s">
        <v>15</v>
      </c>
      <c r="D6" s="66" t="s">
        <v>68</v>
      </c>
      <c r="E6" s="40" t="s">
        <v>69</v>
      </c>
      <c r="F6" s="22">
        <v>140000</v>
      </c>
      <c r="G6" s="42">
        <v>1000000</v>
      </c>
      <c r="H6" s="23">
        <f>20000+30000+140000</f>
        <v>190000</v>
      </c>
      <c r="I6" s="22">
        <f t="shared" si="0"/>
        <v>810000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1361</v>
      </c>
      <c r="C7" s="28" t="s">
        <v>529</v>
      </c>
      <c r="D7" s="66" t="s">
        <v>211</v>
      </c>
      <c r="E7" s="40" t="s">
        <v>633</v>
      </c>
      <c r="F7" s="22">
        <v>60.7</v>
      </c>
      <c r="G7" s="22">
        <v>150</v>
      </c>
      <c r="H7" s="23">
        <v>60.7</v>
      </c>
      <c r="I7" s="22">
        <f>G7-H7</f>
        <v>89.3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1358</v>
      </c>
      <c r="C8" s="28" t="s">
        <v>41</v>
      </c>
      <c r="D8" s="66" t="s">
        <v>1359</v>
      </c>
      <c r="E8" s="40" t="s">
        <v>122</v>
      </c>
      <c r="F8" s="22">
        <v>57000</v>
      </c>
      <c r="G8" s="22">
        <v>87000</v>
      </c>
      <c r="H8" s="23">
        <f>32000+57000</f>
        <v>89000</v>
      </c>
      <c r="I8" s="22">
        <f>G8-H8</f>
        <v>-2000</v>
      </c>
      <c r="J8" s="22" t="s">
        <v>24</v>
      </c>
      <c r="K8" s="24"/>
      <c r="L8" s="25"/>
    </row>
    <row r="9" spans="1:12" ht="15.75" x14ac:dyDescent="0.25">
      <c r="A9" s="20" t="s">
        <v>21</v>
      </c>
      <c r="B9" s="21" t="s">
        <v>941</v>
      </c>
      <c r="C9" s="28" t="s">
        <v>273</v>
      </c>
      <c r="D9" s="29" t="s">
        <v>27</v>
      </c>
      <c r="E9" s="40" t="s">
        <v>1362</v>
      </c>
      <c r="F9" s="22">
        <v>28000</v>
      </c>
      <c r="G9" s="22">
        <v>200000</v>
      </c>
      <c r="H9" s="23">
        <v>28000</v>
      </c>
      <c r="I9" s="22">
        <f>G9-H9</f>
        <v>172000</v>
      </c>
      <c r="J9" s="22" t="s">
        <v>16</v>
      </c>
      <c r="K9" s="24"/>
      <c r="L9" s="25"/>
    </row>
    <row r="10" spans="1:12" ht="15.75" x14ac:dyDescent="0.25">
      <c r="A10" s="20" t="s">
        <v>17</v>
      </c>
      <c r="B10" s="21" t="s">
        <v>1310</v>
      </c>
      <c r="C10" s="28" t="s">
        <v>15</v>
      </c>
      <c r="D10" s="29" t="s">
        <v>1340</v>
      </c>
      <c r="E10" s="40" t="s">
        <v>1341</v>
      </c>
      <c r="F10" s="22">
        <v>3000</v>
      </c>
      <c r="G10" s="22">
        <v>10000</v>
      </c>
      <c r="H10" s="23">
        <f>2850+3000</f>
        <v>5850</v>
      </c>
      <c r="I10" s="22">
        <f t="shared" ref="I10" si="1">G10-H10</f>
        <v>4150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1363</v>
      </c>
      <c r="C11" s="28" t="s">
        <v>15</v>
      </c>
      <c r="D11" s="29" t="s">
        <v>1364</v>
      </c>
      <c r="E11" s="40" t="s">
        <v>39</v>
      </c>
      <c r="F11" s="22">
        <v>5430</v>
      </c>
      <c r="G11" s="42">
        <v>40000</v>
      </c>
      <c r="H11" s="23">
        <v>5430</v>
      </c>
      <c r="I11" s="22">
        <f t="shared" ref="I11" si="2">G11-H11</f>
        <v>34570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1360</v>
      </c>
      <c r="C12" s="28" t="s">
        <v>1305</v>
      </c>
      <c r="D12" s="29" t="s">
        <v>405</v>
      </c>
      <c r="E12" s="40" t="s">
        <v>194</v>
      </c>
      <c r="F12" s="22">
        <v>96000</v>
      </c>
      <c r="G12" s="22">
        <v>1000000</v>
      </c>
      <c r="H12" s="23">
        <f>9100+96000</f>
        <v>105100</v>
      </c>
      <c r="I12" s="22">
        <f>G12-H12</f>
        <v>894900</v>
      </c>
      <c r="J12" s="22" t="s">
        <v>16</v>
      </c>
      <c r="K12" s="24"/>
      <c r="L12" s="25"/>
    </row>
    <row r="13" spans="1:12" ht="15.75" x14ac:dyDescent="0.25">
      <c r="A13" s="20" t="s">
        <v>346</v>
      </c>
      <c r="B13" s="21" t="s">
        <v>1365</v>
      </c>
      <c r="C13" s="28" t="s">
        <v>1366</v>
      </c>
      <c r="D13" s="66" t="s">
        <v>93</v>
      </c>
      <c r="E13" s="40" t="s">
        <v>46</v>
      </c>
      <c r="F13" s="22">
        <v>149</v>
      </c>
      <c r="G13" s="22">
        <v>150</v>
      </c>
      <c r="H13" s="23">
        <v>149</v>
      </c>
      <c r="I13" s="22">
        <f>G13-H13</f>
        <v>1</v>
      </c>
      <c r="J13" s="22" t="s">
        <v>23</v>
      </c>
      <c r="K13" s="24"/>
      <c r="L13" s="25"/>
    </row>
    <row r="14" spans="1:12" ht="15.75" x14ac:dyDescent="0.25">
      <c r="A14" s="20" t="s">
        <v>14</v>
      </c>
      <c r="B14" s="21" t="s">
        <v>1355</v>
      </c>
      <c r="C14" s="28" t="s">
        <v>15</v>
      </c>
      <c r="D14" s="29" t="s">
        <v>18</v>
      </c>
      <c r="E14" s="40" t="s">
        <v>807</v>
      </c>
      <c r="F14" s="22">
        <v>15500</v>
      </c>
      <c r="G14" s="22">
        <v>50000</v>
      </c>
      <c r="H14" s="23">
        <f>2500+1500+15500</f>
        <v>19500</v>
      </c>
      <c r="I14" s="22">
        <f t="shared" ref="I14" si="3">G14-H14</f>
        <v>30500</v>
      </c>
      <c r="J14" s="22" t="s">
        <v>16</v>
      </c>
      <c r="K14" s="24"/>
      <c r="L14" s="25"/>
    </row>
    <row r="15" spans="1:12" ht="16.5" thickBot="1" x14ac:dyDescent="0.3">
      <c r="A15" s="43"/>
      <c r="B15" s="44"/>
      <c r="C15" s="45"/>
      <c r="D15" s="67"/>
      <c r="E15" s="47"/>
      <c r="F15" s="48"/>
      <c r="G15" s="62"/>
      <c r="H15" s="49"/>
      <c r="I15" s="48"/>
      <c r="J15" s="48"/>
      <c r="K15" s="50"/>
      <c r="L15" s="51"/>
    </row>
    <row r="16" spans="1:12" ht="16.5" thickBot="1" x14ac:dyDescent="0.3">
      <c r="A16" s="71"/>
      <c r="B16" s="72"/>
      <c r="C16" s="73"/>
      <c r="D16" s="74"/>
      <c r="E16" s="75"/>
      <c r="F16" s="76"/>
      <c r="G16" s="76"/>
      <c r="H16" s="77"/>
      <c r="I16" s="76"/>
      <c r="J16" s="76"/>
      <c r="K16" s="78"/>
      <c r="L16" s="79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2:L17"/>
  <sheetViews>
    <sheetView workbookViewId="0">
      <pane xSplit="3" topLeftCell="F1" activePane="topRight" state="frozen"/>
      <selection pane="topRight" activeCell="A10" sqref="A10:XFD10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1337</v>
      </c>
      <c r="C4" s="26" t="s">
        <v>1373</v>
      </c>
      <c r="D4" s="65" t="s">
        <v>18</v>
      </c>
      <c r="E4" s="39" t="s">
        <v>1196</v>
      </c>
      <c r="F4" s="16">
        <v>9000</v>
      </c>
      <c r="G4" s="16">
        <v>150000</v>
      </c>
      <c r="H4" s="17">
        <v>15420</v>
      </c>
      <c r="I4" s="16">
        <f t="shared" ref="I4:I6" si="0">G4-H4</f>
        <v>134580</v>
      </c>
      <c r="J4" s="16" t="s">
        <v>24</v>
      </c>
      <c r="K4" s="18"/>
      <c r="L4" s="19"/>
    </row>
    <row r="5" spans="1:12" ht="15.75" x14ac:dyDescent="0.25">
      <c r="A5" s="20" t="s">
        <v>44</v>
      </c>
      <c r="B5" s="21" t="s">
        <v>1374</v>
      </c>
      <c r="C5" s="28" t="s">
        <v>1375</v>
      </c>
      <c r="D5" s="66" t="s">
        <v>260</v>
      </c>
      <c r="E5" s="40" t="s">
        <v>667</v>
      </c>
      <c r="F5" s="22">
        <v>17500</v>
      </c>
      <c r="G5" s="22">
        <v>13000</v>
      </c>
      <c r="H5" s="23">
        <v>17500</v>
      </c>
      <c r="I5" s="22">
        <f t="shared" si="0"/>
        <v>-4500</v>
      </c>
      <c r="J5" s="22" t="s">
        <v>24</v>
      </c>
      <c r="K5" s="24"/>
      <c r="L5" s="25"/>
    </row>
    <row r="6" spans="1:12" ht="15.75" x14ac:dyDescent="0.25">
      <c r="A6" s="20" t="s">
        <v>40</v>
      </c>
      <c r="B6" s="21" t="s">
        <v>1089</v>
      </c>
      <c r="C6" s="28" t="s">
        <v>15</v>
      </c>
      <c r="D6" s="66" t="s">
        <v>68</v>
      </c>
      <c r="E6" s="40" t="s">
        <v>69</v>
      </c>
      <c r="F6" s="22">
        <v>80000</v>
      </c>
      <c r="G6" s="42">
        <v>1000000</v>
      </c>
      <c r="H6" s="23">
        <f>20000+30000+140000+80000</f>
        <v>270000</v>
      </c>
      <c r="I6" s="22">
        <f t="shared" si="0"/>
        <v>730000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1361</v>
      </c>
      <c r="C7" s="28" t="s">
        <v>529</v>
      </c>
      <c r="D7" s="66" t="s">
        <v>211</v>
      </c>
      <c r="E7" s="40" t="s">
        <v>633</v>
      </c>
      <c r="F7" s="22">
        <v>99.9</v>
      </c>
      <c r="G7" s="22">
        <v>150</v>
      </c>
      <c r="H7" s="23">
        <f>60.7+99.9</f>
        <v>160.60000000000002</v>
      </c>
      <c r="I7" s="22">
        <f>G7-H7</f>
        <v>-10.600000000000023</v>
      </c>
      <c r="J7" s="22" t="s">
        <v>24</v>
      </c>
      <c r="K7" s="24"/>
      <c r="L7" s="25"/>
    </row>
    <row r="8" spans="1:12" ht="15.75" x14ac:dyDescent="0.25">
      <c r="A8" s="20" t="s">
        <v>14</v>
      </c>
      <c r="B8" s="21" t="s">
        <v>1259</v>
      </c>
      <c r="C8" s="28" t="s">
        <v>1227</v>
      </c>
      <c r="D8" s="66" t="s">
        <v>18</v>
      </c>
      <c r="E8" s="40" t="s">
        <v>1376</v>
      </c>
      <c r="F8" s="22">
        <v>6250</v>
      </c>
      <c r="G8" s="22">
        <v>12000</v>
      </c>
      <c r="H8" s="23">
        <v>6250</v>
      </c>
      <c r="I8" s="22">
        <f>G8-H8</f>
        <v>5750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817</v>
      </c>
      <c r="C9" s="28" t="s">
        <v>41</v>
      </c>
      <c r="D9" s="66" t="s">
        <v>1370</v>
      </c>
      <c r="E9" s="40" t="s">
        <v>819</v>
      </c>
      <c r="F9" s="22">
        <f>7500+8000</f>
        <v>15500</v>
      </c>
      <c r="G9" s="22">
        <v>93800</v>
      </c>
      <c r="H9" s="23">
        <v>15500</v>
      </c>
      <c r="I9" s="22">
        <f>G9-H9</f>
        <v>78300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941</v>
      </c>
      <c r="C10" s="28" t="s">
        <v>273</v>
      </c>
      <c r="D10" s="29" t="s">
        <v>27</v>
      </c>
      <c r="E10" s="40" t="s">
        <v>1362</v>
      </c>
      <c r="F10" s="22">
        <v>24000</v>
      </c>
      <c r="G10" s="22">
        <v>200000</v>
      </c>
      <c r="H10" s="23">
        <f>28000+24000</f>
        <v>52000</v>
      </c>
      <c r="I10" s="22">
        <f>G10-H10</f>
        <v>148000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1310</v>
      </c>
      <c r="C11" s="28" t="s">
        <v>15</v>
      </c>
      <c r="D11" s="29" t="s">
        <v>1340</v>
      </c>
      <c r="E11" s="40" t="s">
        <v>1341</v>
      </c>
      <c r="F11" s="22">
        <v>1800</v>
      </c>
      <c r="G11" s="22">
        <v>10000</v>
      </c>
      <c r="H11" s="23">
        <v>8650</v>
      </c>
      <c r="I11" s="22">
        <f t="shared" ref="I11:I12" si="1">G11-H11</f>
        <v>1350</v>
      </c>
      <c r="J11" s="22" t="s">
        <v>16</v>
      </c>
      <c r="K11" s="24"/>
      <c r="L11" s="25"/>
    </row>
    <row r="12" spans="1:12" ht="15.75" x14ac:dyDescent="0.25">
      <c r="A12" s="20" t="s">
        <v>44</v>
      </c>
      <c r="B12" s="21" t="s">
        <v>1089</v>
      </c>
      <c r="C12" s="28" t="s">
        <v>15</v>
      </c>
      <c r="D12" s="29" t="s">
        <v>47</v>
      </c>
      <c r="E12" s="40" t="s">
        <v>50</v>
      </c>
      <c r="F12" s="22">
        <v>3000</v>
      </c>
      <c r="G12" s="42">
        <v>500000</v>
      </c>
      <c r="H12" s="23">
        <v>213000</v>
      </c>
      <c r="I12" s="22">
        <f t="shared" si="1"/>
        <v>287000</v>
      </c>
      <c r="J12" s="22" t="s">
        <v>16</v>
      </c>
      <c r="K12" s="24"/>
      <c r="L12" s="25"/>
    </row>
    <row r="13" spans="1:12" ht="15.75" x14ac:dyDescent="0.25">
      <c r="A13" s="20" t="s">
        <v>228</v>
      </c>
      <c r="B13" s="21" t="s">
        <v>1360</v>
      </c>
      <c r="C13" s="28" t="s">
        <v>1305</v>
      </c>
      <c r="D13" s="29" t="s">
        <v>27</v>
      </c>
      <c r="E13" s="40" t="s">
        <v>405</v>
      </c>
      <c r="F13" s="22">
        <v>48000</v>
      </c>
      <c r="G13" s="22">
        <v>1000000</v>
      </c>
      <c r="H13" s="23">
        <f>9100+96000+48000</f>
        <v>153100</v>
      </c>
      <c r="I13" s="22">
        <f>G13-H13</f>
        <v>846900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1371</v>
      </c>
      <c r="C14" s="28" t="s">
        <v>1014</v>
      </c>
      <c r="D14" s="66" t="s">
        <v>1372</v>
      </c>
      <c r="E14" s="40" t="s">
        <v>633</v>
      </c>
      <c r="F14" s="22">
        <v>36.299999999999997</v>
      </c>
      <c r="G14" s="22">
        <v>50</v>
      </c>
      <c r="H14" s="23">
        <v>36.299999999999997</v>
      </c>
      <c r="I14" s="22">
        <f>G14-H14</f>
        <v>13.700000000000003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1355</v>
      </c>
      <c r="C15" s="28" t="s">
        <v>15</v>
      </c>
      <c r="D15" s="29" t="s">
        <v>18</v>
      </c>
      <c r="E15" s="40" t="s">
        <v>807</v>
      </c>
      <c r="F15" s="22">
        <v>1850</v>
      </c>
      <c r="G15" s="22">
        <v>50000</v>
      </c>
      <c r="H15" s="23">
        <f>2500+1500+15500+1850</f>
        <v>21350</v>
      </c>
      <c r="I15" s="22">
        <f t="shared" ref="I15" si="2">G15-H15</f>
        <v>28650</v>
      </c>
      <c r="J15" s="22" t="s">
        <v>16</v>
      </c>
      <c r="K15" s="24"/>
      <c r="L15" s="25"/>
    </row>
    <row r="16" spans="1:12" ht="16.5" thickBot="1" x14ac:dyDescent="0.3">
      <c r="A16" s="43"/>
      <c r="B16" s="44"/>
      <c r="C16" s="45"/>
      <c r="D16" s="67"/>
      <c r="E16" s="47"/>
      <c r="F16" s="48"/>
      <c r="G16" s="62"/>
      <c r="H16" s="49"/>
      <c r="I16" s="48"/>
      <c r="J16" s="48"/>
      <c r="K16" s="50"/>
      <c r="L16" s="51"/>
    </row>
    <row r="17" spans="1:12" ht="16.5" thickBot="1" x14ac:dyDescent="0.3">
      <c r="A17" s="71"/>
      <c r="B17" s="72"/>
      <c r="C17" s="73"/>
      <c r="D17" s="74"/>
      <c r="E17" s="75"/>
      <c r="F17" s="76"/>
      <c r="G17" s="76"/>
      <c r="H17" s="77"/>
      <c r="I17" s="76"/>
      <c r="J17" s="76"/>
      <c r="K17" s="78"/>
      <c r="L17" s="79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2:L21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1337</v>
      </c>
      <c r="C4" s="26" t="s">
        <v>1373</v>
      </c>
      <c r="D4" s="65" t="s">
        <v>18</v>
      </c>
      <c r="E4" s="39" t="s">
        <v>1196</v>
      </c>
      <c r="F4" s="16">
        <v>9750</v>
      </c>
      <c r="G4" s="16">
        <v>150000</v>
      </c>
      <c r="H4" s="17">
        <f>15420+9750</f>
        <v>25170</v>
      </c>
      <c r="I4" s="16">
        <f t="shared" ref="I4:I6" si="0">G4-H4</f>
        <v>124830</v>
      </c>
      <c r="J4" s="16" t="s">
        <v>24</v>
      </c>
      <c r="K4" s="18"/>
      <c r="L4" s="19"/>
    </row>
    <row r="5" spans="1:12" ht="15.75" x14ac:dyDescent="0.25">
      <c r="A5" s="20" t="s">
        <v>28</v>
      </c>
      <c r="B5" s="21" t="s">
        <v>1378</v>
      </c>
      <c r="C5" s="28" t="s">
        <v>373</v>
      </c>
      <c r="D5" s="66" t="s">
        <v>18</v>
      </c>
      <c r="E5" s="40" t="s">
        <v>184</v>
      </c>
      <c r="F5" s="22">
        <f>11*20.2</f>
        <v>222.2</v>
      </c>
      <c r="G5" s="22">
        <v>2000</v>
      </c>
      <c r="H5" s="23">
        <f>222.2</f>
        <v>222.2</v>
      </c>
      <c r="I5" s="22">
        <f t="shared" si="0"/>
        <v>1777.8</v>
      </c>
      <c r="J5" s="22" t="s">
        <v>16</v>
      </c>
      <c r="K5" s="24"/>
      <c r="L5" s="25"/>
    </row>
    <row r="6" spans="1:12" ht="15.75" x14ac:dyDescent="0.25">
      <c r="A6" s="20" t="s">
        <v>40</v>
      </c>
      <c r="B6" s="21" t="s">
        <v>1089</v>
      </c>
      <c r="C6" s="28" t="s">
        <v>15</v>
      </c>
      <c r="D6" s="66" t="s">
        <v>68</v>
      </c>
      <c r="E6" s="40" t="s">
        <v>69</v>
      </c>
      <c r="F6" s="22">
        <v>50000</v>
      </c>
      <c r="G6" s="42">
        <v>1000000</v>
      </c>
      <c r="H6" s="23">
        <f>20000+30000+140000+80000+50000</f>
        <v>320000</v>
      </c>
      <c r="I6" s="22">
        <f t="shared" si="0"/>
        <v>680000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1174</v>
      </c>
      <c r="C7" s="28" t="s">
        <v>588</v>
      </c>
      <c r="D7" s="66" t="s">
        <v>211</v>
      </c>
      <c r="E7" s="40" t="s">
        <v>351</v>
      </c>
      <c r="F7" s="22">
        <v>104.9</v>
      </c>
      <c r="G7" s="22">
        <v>100</v>
      </c>
      <c r="H7" s="23">
        <v>104.9</v>
      </c>
      <c r="I7" s="22">
        <f>G7-H7</f>
        <v>-4.9000000000000057</v>
      </c>
      <c r="J7" s="22" t="s">
        <v>24</v>
      </c>
      <c r="K7" s="24"/>
      <c r="L7" s="25"/>
    </row>
    <row r="8" spans="1:12" ht="15.75" x14ac:dyDescent="0.25">
      <c r="A8" s="20" t="s">
        <v>19</v>
      </c>
      <c r="B8" s="21" t="s">
        <v>1379</v>
      </c>
      <c r="C8" s="28" t="s">
        <v>15</v>
      </c>
      <c r="D8" s="66" t="s">
        <v>688</v>
      </c>
      <c r="E8" s="40" t="s">
        <v>1380</v>
      </c>
      <c r="F8" s="22">
        <v>8000</v>
      </c>
      <c r="G8" s="22">
        <v>5000</v>
      </c>
      <c r="H8" s="23">
        <v>8000</v>
      </c>
      <c r="I8" s="22">
        <f>G8-H8</f>
        <v>-3000</v>
      </c>
      <c r="J8" s="22" t="s">
        <v>16</v>
      </c>
      <c r="K8" s="24"/>
      <c r="L8" s="25"/>
    </row>
    <row r="9" spans="1:12" ht="15.75" x14ac:dyDescent="0.25">
      <c r="A9" s="20" t="s">
        <v>44</v>
      </c>
      <c r="B9" s="21" t="s">
        <v>1381</v>
      </c>
      <c r="C9" s="28" t="s">
        <v>15</v>
      </c>
      <c r="D9" s="66" t="s">
        <v>1382</v>
      </c>
      <c r="E9" s="40" t="s">
        <v>1383</v>
      </c>
      <c r="F9" s="22">
        <v>1250</v>
      </c>
      <c r="G9" s="22">
        <v>5000</v>
      </c>
      <c r="H9" s="23">
        <v>1250</v>
      </c>
      <c r="I9" s="22">
        <f>G9-H9</f>
        <v>3750</v>
      </c>
      <c r="J9" s="22" t="s">
        <v>16</v>
      </c>
      <c r="K9" s="24"/>
      <c r="L9" s="25"/>
    </row>
    <row r="10" spans="1:12" ht="15.75" x14ac:dyDescent="0.25">
      <c r="A10" s="20" t="s">
        <v>228</v>
      </c>
      <c r="B10" s="21" t="s">
        <v>1384</v>
      </c>
      <c r="C10" s="28" t="s">
        <v>15</v>
      </c>
      <c r="D10" s="29" t="s">
        <v>18</v>
      </c>
      <c r="E10" s="40" t="s">
        <v>39</v>
      </c>
      <c r="F10" s="22">
        <v>16600</v>
      </c>
      <c r="G10" s="22">
        <v>100000</v>
      </c>
      <c r="H10" s="23">
        <v>25600</v>
      </c>
      <c r="I10" s="22">
        <f>G10-H10</f>
        <v>74400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1310</v>
      </c>
      <c r="C11" s="28" t="s">
        <v>15</v>
      </c>
      <c r="D11" s="29" t="s">
        <v>1340</v>
      </c>
      <c r="E11" s="40" t="s">
        <v>1341</v>
      </c>
      <c r="F11" s="22">
        <v>300</v>
      </c>
      <c r="G11" s="22">
        <v>10000</v>
      </c>
      <c r="H11" s="23">
        <f>8650+300</f>
        <v>8950</v>
      </c>
      <c r="I11" s="22">
        <f t="shared" ref="I11:I12" si="1">G11-H11</f>
        <v>1050</v>
      </c>
      <c r="J11" s="22" t="s">
        <v>16</v>
      </c>
      <c r="K11" s="24"/>
      <c r="L11" s="25"/>
    </row>
    <row r="12" spans="1:12" ht="15.75" x14ac:dyDescent="0.25">
      <c r="A12" s="20" t="s">
        <v>44</v>
      </c>
      <c r="B12" s="21" t="s">
        <v>1089</v>
      </c>
      <c r="C12" s="28" t="s">
        <v>15</v>
      </c>
      <c r="D12" s="29" t="s">
        <v>47</v>
      </c>
      <c r="E12" s="40" t="s">
        <v>45</v>
      </c>
      <c r="F12" s="22">
        <v>16750</v>
      </c>
      <c r="G12" s="42">
        <v>500000</v>
      </c>
      <c r="H12" s="23">
        <v>16750</v>
      </c>
      <c r="I12" s="22">
        <f t="shared" si="1"/>
        <v>483250</v>
      </c>
      <c r="J12" s="22" t="s">
        <v>16</v>
      </c>
      <c r="K12" s="24"/>
      <c r="L12" s="25"/>
    </row>
    <row r="13" spans="1:12" ht="15.75" x14ac:dyDescent="0.25">
      <c r="A13" s="20" t="s">
        <v>228</v>
      </c>
      <c r="B13" s="21" t="s">
        <v>1360</v>
      </c>
      <c r="C13" s="28" t="s">
        <v>1305</v>
      </c>
      <c r="D13" s="29" t="s">
        <v>27</v>
      </c>
      <c r="E13" s="40" t="s">
        <v>405</v>
      </c>
      <c r="F13" s="22">
        <v>41000</v>
      </c>
      <c r="G13" s="22">
        <v>1000000</v>
      </c>
      <c r="H13" s="23">
        <f>9100+96000+48000+41000</f>
        <v>194100</v>
      </c>
      <c r="I13" s="22">
        <f>G13-H13</f>
        <v>805900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1371</v>
      </c>
      <c r="C14" s="28" t="s">
        <v>1014</v>
      </c>
      <c r="D14" s="66" t="s">
        <v>1372</v>
      </c>
      <c r="E14" s="40" t="s">
        <v>633</v>
      </c>
      <c r="F14" s="22">
        <v>14</v>
      </c>
      <c r="G14" s="22">
        <v>50</v>
      </c>
      <c r="H14" s="23">
        <f>36.3+14</f>
        <v>50.3</v>
      </c>
      <c r="I14" s="22">
        <f>G14-H14</f>
        <v>-0.29999999999999716</v>
      </c>
      <c r="J14" s="22" t="s">
        <v>23</v>
      </c>
      <c r="K14" s="24"/>
      <c r="L14" s="25"/>
    </row>
    <row r="15" spans="1:12" ht="15.75" x14ac:dyDescent="0.25">
      <c r="A15" s="20" t="s">
        <v>30</v>
      </c>
      <c r="B15" s="21" t="s">
        <v>1299</v>
      </c>
      <c r="C15" s="28" t="s">
        <v>422</v>
      </c>
      <c r="D15" s="66" t="s">
        <v>27</v>
      </c>
      <c r="E15" s="40" t="s">
        <v>49</v>
      </c>
      <c r="F15" s="22">
        <v>28000</v>
      </c>
      <c r="G15" s="22">
        <v>62000</v>
      </c>
      <c r="H15" s="23">
        <v>44000</v>
      </c>
      <c r="I15" s="22">
        <f>G15-H15</f>
        <v>18000</v>
      </c>
      <c r="J15" s="22" t="s">
        <v>16</v>
      </c>
      <c r="K15" s="24"/>
      <c r="L15" s="25"/>
    </row>
    <row r="16" spans="1:12" ht="15.75" x14ac:dyDescent="0.25">
      <c r="A16" s="20" t="s">
        <v>17</v>
      </c>
      <c r="B16" s="21" t="s">
        <v>1323</v>
      </c>
      <c r="C16" s="28" t="s">
        <v>1324</v>
      </c>
      <c r="D16" s="66" t="s">
        <v>1357</v>
      </c>
      <c r="E16" s="40" t="s">
        <v>951</v>
      </c>
      <c r="F16" s="22">
        <v>350</v>
      </c>
      <c r="G16" s="22">
        <v>10000</v>
      </c>
      <c r="H16" s="23">
        <f>1057+4175+3625+943+350</f>
        <v>10150</v>
      </c>
      <c r="I16" s="22">
        <f t="shared" ref="I16" si="2">G16-H16</f>
        <v>-150</v>
      </c>
      <c r="J16" s="22" t="s">
        <v>24</v>
      </c>
      <c r="K16" s="24"/>
      <c r="L16" s="25"/>
    </row>
    <row r="17" spans="1:12" ht="15.75" x14ac:dyDescent="0.25">
      <c r="A17" s="20" t="s">
        <v>244</v>
      </c>
      <c r="B17" s="21" t="s">
        <v>1385</v>
      </c>
      <c r="C17" s="28" t="s">
        <v>870</v>
      </c>
      <c r="D17" s="66" t="s">
        <v>35</v>
      </c>
      <c r="E17" s="40" t="s">
        <v>338</v>
      </c>
      <c r="F17" s="22">
        <v>1013.5</v>
      </c>
      <c r="G17" s="22">
        <v>1000</v>
      </c>
      <c r="H17" s="23">
        <v>1013.5</v>
      </c>
      <c r="I17" s="22">
        <f>G17-H17</f>
        <v>-13.5</v>
      </c>
      <c r="J17" s="22" t="s">
        <v>24</v>
      </c>
      <c r="K17" s="24"/>
      <c r="L17" s="25"/>
    </row>
    <row r="18" spans="1:12" ht="15.75" x14ac:dyDescent="0.25">
      <c r="A18" s="20" t="s">
        <v>21</v>
      </c>
      <c r="B18" s="21" t="s">
        <v>1342</v>
      </c>
      <c r="C18" s="28" t="s">
        <v>1343</v>
      </c>
      <c r="D18" s="66" t="s">
        <v>27</v>
      </c>
      <c r="E18" s="40" t="s">
        <v>1345</v>
      </c>
      <c r="F18" s="22">
        <v>21000</v>
      </c>
      <c r="G18" s="22">
        <v>43000</v>
      </c>
      <c r="H18" s="23">
        <v>21000</v>
      </c>
      <c r="I18" s="22">
        <f>G18-H18</f>
        <v>22000</v>
      </c>
      <c r="J18" s="22" t="s">
        <v>16</v>
      </c>
      <c r="K18" s="24"/>
      <c r="L18" s="25"/>
    </row>
    <row r="19" spans="1:12" ht="15.75" x14ac:dyDescent="0.25">
      <c r="A19" s="20" t="s">
        <v>17</v>
      </c>
      <c r="B19" s="21" t="s">
        <v>1377</v>
      </c>
      <c r="C19" s="28" t="s">
        <v>758</v>
      </c>
      <c r="D19" s="29" t="s">
        <v>52</v>
      </c>
      <c r="E19" s="40" t="s">
        <v>760</v>
      </c>
      <c r="F19" s="22">
        <v>2420</v>
      </c>
      <c r="G19" s="22">
        <v>2288</v>
      </c>
      <c r="H19" s="23">
        <v>2420</v>
      </c>
      <c r="I19" s="22">
        <f t="shared" ref="I19" si="3">G19-H19</f>
        <v>-132</v>
      </c>
      <c r="J19" s="22" t="s">
        <v>24</v>
      </c>
      <c r="K19" s="24"/>
      <c r="L19" s="25"/>
    </row>
    <row r="20" spans="1:12" ht="16.5" thickBot="1" x14ac:dyDescent="0.3">
      <c r="A20" s="43"/>
      <c r="B20" s="44"/>
      <c r="C20" s="45"/>
      <c r="D20" s="67"/>
      <c r="E20" s="47"/>
      <c r="F20" s="48"/>
      <c r="G20" s="62"/>
      <c r="H20" s="49"/>
      <c r="I20" s="48"/>
      <c r="J20" s="48"/>
      <c r="K20" s="50"/>
      <c r="L20" s="51"/>
    </row>
    <row r="21" spans="1:12" ht="16.5" thickBot="1" x14ac:dyDescent="0.3">
      <c r="A21" s="71"/>
      <c r="B21" s="72"/>
      <c r="C21" s="73"/>
      <c r="D21" s="74"/>
      <c r="E21" s="75"/>
      <c r="F21" s="76"/>
      <c r="G21" s="76"/>
      <c r="H21" s="77"/>
      <c r="I21" s="76"/>
      <c r="J21" s="76"/>
      <c r="K21" s="78"/>
      <c r="L21" s="79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2:L23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1337</v>
      </c>
      <c r="C4" s="26" t="s">
        <v>1373</v>
      </c>
      <c r="D4" s="65" t="s">
        <v>18</v>
      </c>
      <c r="E4" s="39" t="s">
        <v>1196</v>
      </c>
      <c r="F4" s="16">
        <f>3500+5500</f>
        <v>9000</v>
      </c>
      <c r="G4" s="16">
        <v>150000</v>
      </c>
      <c r="H4" s="17">
        <v>134170</v>
      </c>
      <c r="I4" s="16">
        <f t="shared" ref="I4:I6" si="0">G4-H4</f>
        <v>15830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1386</v>
      </c>
      <c r="C5" s="28" t="s">
        <v>648</v>
      </c>
      <c r="D5" s="66" t="s">
        <v>215</v>
      </c>
      <c r="E5" s="40" t="s">
        <v>649</v>
      </c>
      <c r="F5" s="22">
        <v>4645</v>
      </c>
      <c r="G5" s="22">
        <v>5000</v>
      </c>
      <c r="H5" s="23">
        <v>4645</v>
      </c>
      <c r="I5" s="22">
        <f t="shared" si="0"/>
        <v>355</v>
      </c>
      <c r="J5" s="22" t="s">
        <v>16</v>
      </c>
      <c r="K5" s="24"/>
      <c r="L5" s="25"/>
    </row>
    <row r="6" spans="1:12" ht="15.75" x14ac:dyDescent="0.25">
      <c r="A6" s="20" t="s">
        <v>40</v>
      </c>
      <c r="B6" s="21" t="s">
        <v>1089</v>
      </c>
      <c r="C6" s="28" t="s">
        <v>15</v>
      </c>
      <c r="D6" s="66" t="s">
        <v>68</v>
      </c>
      <c r="E6" s="40" t="s">
        <v>69</v>
      </c>
      <c r="F6" s="22">
        <v>40000</v>
      </c>
      <c r="G6" s="42">
        <v>1000000</v>
      </c>
      <c r="H6" s="23">
        <f>20000+30000+140000+80000+50000+40000</f>
        <v>360000</v>
      </c>
      <c r="I6" s="22">
        <f t="shared" si="0"/>
        <v>640000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1387</v>
      </c>
      <c r="C7" s="28" t="s">
        <v>644</v>
      </c>
      <c r="D7" s="66" t="s">
        <v>1388</v>
      </c>
      <c r="E7" s="40" t="s">
        <v>365</v>
      </c>
      <c r="F7" s="22">
        <v>15000</v>
      </c>
      <c r="G7" s="22">
        <v>20000</v>
      </c>
      <c r="H7" s="23">
        <v>15000</v>
      </c>
      <c r="I7" s="22">
        <f>G7-H7</f>
        <v>5000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1379</v>
      </c>
      <c r="C8" s="28" t="s">
        <v>15</v>
      </c>
      <c r="D8" s="66" t="s">
        <v>688</v>
      </c>
      <c r="E8" s="40" t="s">
        <v>1380</v>
      </c>
      <c r="F8" s="22">
        <v>5000</v>
      </c>
      <c r="G8" s="22">
        <v>50000</v>
      </c>
      <c r="H8" s="23">
        <f>8000+5000</f>
        <v>13000</v>
      </c>
      <c r="I8" s="22">
        <f>G8-H8</f>
        <v>37000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1389</v>
      </c>
      <c r="C9" s="28" t="s">
        <v>1390</v>
      </c>
      <c r="D9" s="66" t="s">
        <v>77</v>
      </c>
      <c r="E9" s="40" t="s">
        <v>1136</v>
      </c>
      <c r="F9" s="22">
        <v>4700</v>
      </c>
      <c r="G9" s="22">
        <v>11000</v>
      </c>
      <c r="H9" s="23">
        <v>4700</v>
      </c>
      <c r="I9" s="22">
        <f>G9-H9</f>
        <v>6300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941</v>
      </c>
      <c r="C10" s="28" t="s">
        <v>273</v>
      </c>
      <c r="D10" s="29" t="s">
        <v>27</v>
      </c>
      <c r="E10" s="40" t="s">
        <v>1362</v>
      </c>
      <c r="F10" s="22">
        <v>342</v>
      </c>
      <c r="G10" s="22">
        <v>200000</v>
      </c>
      <c r="H10" s="23">
        <f>28000+24000+342</f>
        <v>52342</v>
      </c>
      <c r="I10" s="22">
        <f>G10-H10</f>
        <v>147658</v>
      </c>
      <c r="J10" s="22" t="s">
        <v>16</v>
      </c>
      <c r="K10" s="24"/>
      <c r="L10" s="25"/>
    </row>
    <row r="11" spans="1:12" ht="15.75" x14ac:dyDescent="0.25">
      <c r="A11" s="20" t="s">
        <v>346</v>
      </c>
      <c r="B11" s="21" t="s">
        <v>1399</v>
      </c>
      <c r="C11" s="28" t="s">
        <v>187</v>
      </c>
      <c r="D11" s="29" t="s">
        <v>1400</v>
      </c>
      <c r="E11" s="40" t="s">
        <v>46</v>
      </c>
      <c r="F11" s="22">
        <v>84.7</v>
      </c>
      <c r="G11" s="22">
        <v>150</v>
      </c>
      <c r="H11" s="23">
        <v>84.7</v>
      </c>
      <c r="I11" s="22">
        <f t="shared" ref="I11:I14" si="1">G11-H11</f>
        <v>65.3</v>
      </c>
      <c r="J11" s="22" t="s">
        <v>16</v>
      </c>
      <c r="K11" s="24"/>
      <c r="L11" s="25"/>
    </row>
    <row r="12" spans="1:12" ht="15.75" x14ac:dyDescent="0.25">
      <c r="A12" s="20" t="s">
        <v>346</v>
      </c>
      <c r="B12" s="21" t="s">
        <v>1397</v>
      </c>
      <c r="C12" s="28" t="s">
        <v>187</v>
      </c>
      <c r="D12" s="29" t="s">
        <v>1398</v>
      </c>
      <c r="E12" s="40" t="s">
        <v>46</v>
      </c>
      <c r="F12" s="22">
        <v>67.2</v>
      </c>
      <c r="G12" s="22">
        <v>100</v>
      </c>
      <c r="H12" s="23">
        <v>67.2</v>
      </c>
      <c r="I12" s="22">
        <f>G12-H12</f>
        <v>32.799999999999997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1396</v>
      </c>
      <c r="C13" s="28" t="s">
        <v>560</v>
      </c>
      <c r="D13" s="29" t="s">
        <v>43</v>
      </c>
      <c r="E13" s="40" t="s">
        <v>38</v>
      </c>
      <c r="F13" s="22">
        <v>171.8</v>
      </c>
      <c r="G13" s="22">
        <v>1000</v>
      </c>
      <c r="H13" s="23">
        <v>171.8</v>
      </c>
      <c r="I13" s="22">
        <f>G13-H13</f>
        <v>828.2</v>
      </c>
      <c r="J13" s="22" t="s">
        <v>16</v>
      </c>
      <c r="K13" s="24"/>
      <c r="L13" s="25"/>
    </row>
    <row r="14" spans="1:12" ht="15.75" x14ac:dyDescent="0.25">
      <c r="A14" s="20" t="s">
        <v>19</v>
      </c>
      <c r="B14" s="21" t="s">
        <v>1395</v>
      </c>
      <c r="C14" s="28" t="s">
        <v>249</v>
      </c>
      <c r="D14" s="29" t="s">
        <v>586</v>
      </c>
      <c r="E14" s="40" t="s">
        <v>55</v>
      </c>
      <c r="F14" s="22">
        <v>8900</v>
      </c>
      <c r="G14" s="42">
        <v>10000</v>
      </c>
      <c r="H14" s="23">
        <v>8900</v>
      </c>
      <c r="I14" s="22">
        <f t="shared" si="1"/>
        <v>1100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1360</v>
      </c>
      <c r="C15" s="28" t="s">
        <v>1305</v>
      </c>
      <c r="D15" s="29" t="s">
        <v>27</v>
      </c>
      <c r="E15" s="40" t="s">
        <v>405</v>
      </c>
      <c r="F15" s="22">
        <v>60000</v>
      </c>
      <c r="G15" s="22">
        <v>1000000</v>
      </c>
      <c r="H15" s="23">
        <f>9100+96000+48000+41000+60000</f>
        <v>254100</v>
      </c>
      <c r="I15" s="22">
        <f t="shared" ref="I15:I20" si="2">G15-H15</f>
        <v>745900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1381</v>
      </c>
      <c r="C16" s="28" t="s">
        <v>15</v>
      </c>
      <c r="D16" s="66" t="s">
        <v>1394</v>
      </c>
      <c r="E16" s="40" t="s">
        <v>940</v>
      </c>
      <c r="F16" s="22">
        <v>100000</v>
      </c>
      <c r="G16" s="22">
        <v>2000000</v>
      </c>
      <c r="H16" s="23">
        <v>100000</v>
      </c>
      <c r="I16" s="22">
        <f t="shared" si="2"/>
        <v>1900000</v>
      </c>
      <c r="J16" s="22" t="s">
        <v>16</v>
      </c>
      <c r="K16" s="24"/>
      <c r="L16" s="25"/>
    </row>
    <row r="17" spans="1:12" ht="15.75" x14ac:dyDescent="0.25">
      <c r="A17" s="20" t="s">
        <v>30</v>
      </c>
      <c r="B17" s="21" t="s">
        <v>1299</v>
      </c>
      <c r="C17" s="28" t="s">
        <v>422</v>
      </c>
      <c r="D17" s="66" t="s">
        <v>27</v>
      </c>
      <c r="E17" s="40" t="s">
        <v>49</v>
      </c>
      <c r="F17" s="22">
        <v>11500</v>
      </c>
      <c r="G17" s="22">
        <v>62000</v>
      </c>
      <c r="H17" s="23">
        <f>44000+11500</f>
        <v>55500</v>
      </c>
      <c r="I17" s="22">
        <f t="shared" si="2"/>
        <v>6500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1349</v>
      </c>
      <c r="C18" s="28" t="s">
        <v>1309</v>
      </c>
      <c r="D18" s="29" t="s">
        <v>71</v>
      </c>
      <c r="E18" s="40" t="s">
        <v>222</v>
      </c>
      <c r="F18" s="22">
        <v>40000</v>
      </c>
      <c r="G18" s="42">
        <v>80000</v>
      </c>
      <c r="H18" s="23">
        <v>40000</v>
      </c>
      <c r="I18" s="22">
        <f t="shared" si="2"/>
        <v>40000</v>
      </c>
      <c r="J18" s="22" t="s">
        <v>16</v>
      </c>
      <c r="K18" s="24"/>
      <c r="L18" s="25"/>
    </row>
    <row r="19" spans="1:12" ht="15.75" x14ac:dyDescent="0.25">
      <c r="A19" s="20" t="s">
        <v>244</v>
      </c>
      <c r="B19" s="21" t="s">
        <v>1381</v>
      </c>
      <c r="C19" s="28" t="s">
        <v>15</v>
      </c>
      <c r="D19" s="66" t="s">
        <v>35</v>
      </c>
      <c r="E19" s="40" t="s">
        <v>547</v>
      </c>
      <c r="F19" s="22">
        <v>505.4</v>
      </c>
      <c r="G19" s="22">
        <v>500</v>
      </c>
      <c r="H19" s="23">
        <v>505.4</v>
      </c>
      <c r="I19" s="22">
        <f t="shared" si="2"/>
        <v>-5.3999999999999773</v>
      </c>
      <c r="J19" s="22" t="s">
        <v>24</v>
      </c>
      <c r="K19" s="24"/>
      <c r="L19" s="25"/>
    </row>
    <row r="20" spans="1:12" ht="15.75" x14ac:dyDescent="0.25">
      <c r="A20" s="20" t="s">
        <v>21</v>
      </c>
      <c r="B20" s="21" t="s">
        <v>1342</v>
      </c>
      <c r="C20" s="28" t="s">
        <v>1343</v>
      </c>
      <c r="D20" s="66" t="s">
        <v>27</v>
      </c>
      <c r="E20" s="40" t="s">
        <v>1345</v>
      </c>
      <c r="F20" s="22">
        <v>9250</v>
      </c>
      <c r="G20" s="22">
        <v>43000</v>
      </c>
      <c r="H20" s="23">
        <f>21000+9250</f>
        <v>30250</v>
      </c>
      <c r="I20" s="22">
        <f t="shared" si="2"/>
        <v>12750</v>
      </c>
      <c r="J20" s="22" t="s">
        <v>16</v>
      </c>
      <c r="K20" s="24"/>
      <c r="L20" s="25"/>
    </row>
    <row r="21" spans="1:12" ht="15.75" x14ac:dyDescent="0.25">
      <c r="A21" s="20" t="s">
        <v>25</v>
      </c>
      <c r="B21" s="21" t="s">
        <v>1391</v>
      </c>
      <c r="C21" s="28" t="s">
        <v>1392</v>
      </c>
      <c r="D21" s="29" t="s">
        <v>551</v>
      </c>
      <c r="E21" s="40" t="s">
        <v>1393</v>
      </c>
      <c r="F21" s="22">
        <v>585</v>
      </c>
      <c r="G21" s="22">
        <v>91000</v>
      </c>
      <c r="H21" s="23">
        <v>585</v>
      </c>
      <c r="I21" s="22">
        <f t="shared" ref="I21" si="3">G21-H21</f>
        <v>90415</v>
      </c>
      <c r="J21" s="22" t="s">
        <v>16</v>
      </c>
      <c r="K21" s="24"/>
      <c r="L21" s="25"/>
    </row>
    <row r="22" spans="1:12" ht="16.5" thickBot="1" x14ac:dyDescent="0.3">
      <c r="A22" s="43"/>
      <c r="B22" s="44"/>
      <c r="C22" s="45"/>
      <c r="D22" s="67"/>
      <c r="E22" s="47"/>
      <c r="F22" s="48"/>
      <c r="G22" s="62"/>
      <c r="H22" s="49"/>
      <c r="I22" s="48"/>
      <c r="J22" s="48"/>
      <c r="K22" s="50"/>
      <c r="L22" s="51"/>
    </row>
    <row r="23" spans="1:12" ht="16.5" thickBot="1" x14ac:dyDescent="0.3">
      <c r="A23" s="71"/>
      <c r="B23" s="72"/>
      <c r="C23" s="73"/>
      <c r="D23" s="74"/>
      <c r="E23" s="75"/>
      <c r="F23" s="76"/>
      <c r="G23" s="76"/>
      <c r="H23" s="77"/>
      <c r="I23" s="76"/>
      <c r="J23" s="76"/>
      <c r="K23" s="78"/>
      <c r="L23" s="79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2:L23"/>
  <sheetViews>
    <sheetView workbookViewId="0">
      <selection activeCell="A15" sqref="A15:XFD1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1337</v>
      </c>
      <c r="C4" s="26" t="s">
        <v>1373</v>
      </c>
      <c r="D4" s="65" t="s">
        <v>18</v>
      </c>
      <c r="E4" s="39" t="s">
        <v>1196</v>
      </c>
      <c r="F4" s="16">
        <f>3500+5500</f>
        <v>9000</v>
      </c>
      <c r="G4" s="16">
        <v>150000</v>
      </c>
      <c r="H4" s="17">
        <v>134170</v>
      </c>
      <c r="I4" s="16">
        <f t="shared" ref="I4:I6" si="0">G4-H4</f>
        <v>15830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1386</v>
      </c>
      <c r="C5" s="28" t="s">
        <v>648</v>
      </c>
      <c r="D5" s="66" t="s">
        <v>215</v>
      </c>
      <c r="E5" s="40" t="s">
        <v>649</v>
      </c>
      <c r="F5" s="22">
        <v>4645</v>
      </c>
      <c r="G5" s="22">
        <v>5000</v>
      </c>
      <c r="H5" s="23">
        <v>4645</v>
      </c>
      <c r="I5" s="22">
        <f t="shared" si="0"/>
        <v>355</v>
      </c>
      <c r="J5" s="22" t="s">
        <v>16</v>
      </c>
      <c r="K5" s="24"/>
      <c r="L5" s="25"/>
    </row>
    <row r="6" spans="1:12" ht="15.75" x14ac:dyDescent="0.25">
      <c r="A6" s="20" t="s">
        <v>40</v>
      </c>
      <c r="B6" s="21" t="s">
        <v>1089</v>
      </c>
      <c r="C6" s="28" t="s">
        <v>15</v>
      </c>
      <c r="D6" s="66" t="s">
        <v>68</v>
      </c>
      <c r="E6" s="40" t="s">
        <v>69</v>
      </c>
      <c r="F6" s="22">
        <v>40000</v>
      </c>
      <c r="G6" s="42">
        <v>1000000</v>
      </c>
      <c r="H6" s="23">
        <f>20000+30000+140000+80000+50000+40000</f>
        <v>360000</v>
      </c>
      <c r="I6" s="22">
        <f t="shared" si="0"/>
        <v>640000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1387</v>
      </c>
      <c r="C7" s="28" t="s">
        <v>644</v>
      </c>
      <c r="D7" s="66" t="s">
        <v>1388</v>
      </c>
      <c r="E7" s="40" t="s">
        <v>365</v>
      </c>
      <c r="F7" s="22">
        <v>15000</v>
      </c>
      <c r="G7" s="22">
        <v>20000</v>
      </c>
      <c r="H7" s="23">
        <v>15000</v>
      </c>
      <c r="I7" s="22">
        <f>G7-H7</f>
        <v>5000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1379</v>
      </c>
      <c r="C8" s="28" t="s">
        <v>15</v>
      </c>
      <c r="D8" s="66" t="s">
        <v>688</v>
      </c>
      <c r="E8" s="40" t="s">
        <v>1380</v>
      </c>
      <c r="F8" s="22">
        <v>5000</v>
      </c>
      <c r="G8" s="22">
        <v>50000</v>
      </c>
      <c r="H8" s="23">
        <f>8000+5000</f>
        <v>13000</v>
      </c>
      <c r="I8" s="22">
        <f>G8-H8</f>
        <v>37000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1389</v>
      </c>
      <c r="C9" s="28" t="s">
        <v>1390</v>
      </c>
      <c r="D9" s="66" t="s">
        <v>77</v>
      </c>
      <c r="E9" s="40" t="s">
        <v>1136</v>
      </c>
      <c r="F9" s="22">
        <v>4700</v>
      </c>
      <c r="G9" s="22">
        <v>11000</v>
      </c>
      <c r="H9" s="23">
        <v>4700</v>
      </c>
      <c r="I9" s="22">
        <f>G9-H9</f>
        <v>6300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941</v>
      </c>
      <c r="C10" s="28" t="s">
        <v>273</v>
      </c>
      <c r="D10" s="29" t="s">
        <v>27</v>
      </c>
      <c r="E10" s="40" t="s">
        <v>1362</v>
      </c>
      <c r="F10" s="22">
        <v>342</v>
      </c>
      <c r="G10" s="22">
        <v>200000</v>
      </c>
      <c r="H10" s="23">
        <f>28000+24000+342</f>
        <v>52342</v>
      </c>
      <c r="I10" s="22">
        <f>G10-H10</f>
        <v>147658</v>
      </c>
      <c r="J10" s="22" t="s">
        <v>16</v>
      </c>
      <c r="K10" s="24"/>
      <c r="L10" s="25"/>
    </row>
    <row r="11" spans="1:12" ht="15.75" x14ac:dyDescent="0.25">
      <c r="A11" s="20" t="s">
        <v>346</v>
      </c>
      <c r="B11" s="21" t="s">
        <v>1399</v>
      </c>
      <c r="C11" s="28" t="s">
        <v>187</v>
      </c>
      <c r="D11" s="29" t="s">
        <v>1400</v>
      </c>
      <c r="E11" s="40" t="s">
        <v>46</v>
      </c>
      <c r="F11" s="22">
        <v>84.7</v>
      </c>
      <c r="G11" s="22">
        <v>150</v>
      </c>
      <c r="H11" s="23">
        <v>84.7</v>
      </c>
      <c r="I11" s="22">
        <f t="shared" ref="I11:I14" si="1">G11-H11</f>
        <v>65.3</v>
      </c>
      <c r="J11" s="22" t="s">
        <v>16</v>
      </c>
      <c r="K11" s="24"/>
      <c r="L11" s="25"/>
    </row>
    <row r="12" spans="1:12" ht="15.75" x14ac:dyDescent="0.25">
      <c r="A12" s="20" t="s">
        <v>346</v>
      </c>
      <c r="B12" s="21" t="s">
        <v>1397</v>
      </c>
      <c r="C12" s="28" t="s">
        <v>187</v>
      </c>
      <c r="D12" s="29" t="s">
        <v>1398</v>
      </c>
      <c r="E12" s="40" t="s">
        <v>46</v>
      </c>
      <c r="F12" s="22">
        <v>67.2</v>
      </c>
      <c r="G12" s="22">
        <v>100</v>
      </c>
      <c r="H12" s="23">
        <v>67.2</v>
      </c>
      <c r="I12" s="22">
        <f>G12-H12</f>
        <v>32.799999999999997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1396</v>
      </c>
      <c r="C13" s="28" t="s">
        <v>560</v>
      </c>
      <c r="D13" s="29" t="s">
        <v>43</v>
      </c>
      <c r="E13" s="40" t="s">
        <v>38</v>
      </c>
      <c r="F13" s="22">
        <v>171.8</v>
      </c>
      <c r="G13" s="22">
        <v>1000</v>
      </c>
      <c r="H13" s="23">
        <v>171.8</v>
      </c>
      <c r="I13" s="22">
        <f>G13-H13</f>
        <v>828.2</v>
      </c>
      <c r="J13" s="22" t="s">
        <v>16</v>
      </c>
      <c r="K13" s="24"/>
      <c r="L13" s="25"/>
    </row>
    <row r="14" spans="1:12" ht="15.75" x14ac:dyDescent="0.25">
      <c r="A14" s="20" t="s">
        <v>19</v>
      </c>
      <c r="B14" s="21" t="s">
        <v>1395</v>
      </c>
      <c r="C14" s="28" t="s">
        <v>249</v>
      </c>
      <c r="D14" s="29" t="s">
        <v>586</v>
      </c>
      <c r="E14" s="40" t="s">
        <v>55</v>
      </c>
      <c r="F14" s="22">
        <v>8900</v>
      </c>
      <c r="G14" s="42">
        <v>10000</v>
      </c>
      <c r="H14" s="23">
        <v>8900</v>
      </c>
      <c r="I14" s="22">
        <f t="shared" si="1"/>
        <v>1100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1360</v>
      </c>
      <c r="C15" s="28" t="s">
        <v>1305</v>
      </c>
      <c r="D15" s="29" t="s">
        <v>27</v>
      </c>
      <c r="E15" s="40" t="s">
        <v>405</v>
      </c>
      <c r="F15" s="22">
        <v>60000</v>
      </c>
      <c r="G15" s="22">
        <v>1000000</v>
      </c>
      <c r="H15" s="23">
        <f>9100+96000+48000+41000+60000</f>
        <v>254100</v>
      </c>
      <c r="I15" s="22">
        <f t="shared" ref="I15:I20" si="2">G15-H15</f>
        <v>745900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1381</v>
      </c>
      <c r="C16" s="28" t="s">
        <v>15</v>
      </c>
      <c r="D16" s="66" t="s">
        <v>1394</v>
      </c>
      <c r="E16" s="40" t="s">
        <v>940</v>
      </c>
      <c r="F16" s="22">
        <v>100000</v>
      </c>
      <c r="G16" s="22">
        <v>2000000</v>
      </c>
      <c r="H16" s="23">
        <v>100000</v>
      </c>
      <c r="I16" s="22">
        <f t="shared" si="2"/>
        <v>1900000</v>
      </c>
      <c r="J16" s="22" t="s">
        <v>16</v>
      </c>
      <c r="K16" s="24"/>
      <c r="L16" s="25"/>
    </row>
    <row r="17" spans="1:12" ht="15.75" x14ac:dyDescent="0.25">
      <c r="A17" s="20" t="s">
        <v>30</v>
      </c>
      <c r="B17" s="21" t="s">
        <v>1299</v>
      </c>
      <c r="C17" s="28" t="s">
        <v>422</v>
      </c>
      <c r="D17" s="66" t="s">
        <v>27</v>
      </c>
      <c r="E17" s="40" t="s">
        <v>49</v>
      </c>
      <c r="F17" s="22">
        <v>11500</v>
      </c>
      <c r="G17" s="22">
        <v>62000</v>
      </c>
      <c r="H17" s="23">
        <f>44000+11500</f>
        <v>55500</v>
      </c>
      <c r="I17" s="22">
        <f t="shared" si="2"/>
        <v>6500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1349</v>
      </c>
      <c r="C18" s="28" t="s">
        <v>1309</v>
      </c>
      <c r="D18" s="29" t="s">
        <v>71</v>
      </c>
      <c r="E18" s="40" t="s">
        <v>222</v>
      </c>
      <c r="F18" s="22">
        <v>40000</v>
      </c>
      <c r="G18" s="42">
        <v>80000</v>
      </c>
      <c r="H18" s="23">
        <v>40000</v>
      </c>
      <c r="I18" s="22">
        <f t="shared" si="2"/>
        <v>40000</v>
      </c>
      <c r="J18" s="22" t="s">
        <v>16</v>
      </c>
      <c r="K18" s="24"/>
      <c r="L18" s="25"/>
    </row>
    <row r="19" spans="1:12" ht="15.75" x14ac:dyDescent="0.25">
      <c r="A19" s="20" t="s">
        <v>244</v>
      </c>
      <c r="B19" s="21" t="s">
        <v>1381</v>
      </c>
      <c r="C19" s="28" t="s">
        <v>15</v>
      </c>
      <c r="D19" s="66" t="s">
        <v>35</v>
      </c>
      <c r="E19" s="40" t="s">
        <v>547</v>
      </c>
      <c r="F19" s="22">
        <v>505.4</v>
      </c>
      <c r="G19" s="22">
        <v>500</v>
      </c>
      <c r="H19" s="23">
        <v>505.4</v>
      </c>
      <c r="I19" s="22">
        <f t="shared" si="2"/>
        <v>-5.3999999999999773</v>
      </c>
      <c r="J19" s="22" t="s">
        <v>24</v>
      </c>
      <c r="K19" s="24"/>
      <c r="L19" s="25"/>
    </row>
    <row r="20" spans="1:12" ht="15.75" x14ac:dyDescent="0.25">
      <c r="A20" s="20" t="s">
        <v>21</v>
      </c>
      <c r="B20" s="21" t="s">
        <v>1342</v>
      </c>
      <c r="C20" s="28" t="s">
        <v>1343</v>
      </c>
      <c r="D20" s="66" t="s">
        <v>27</v>
      </c>
      <c r="E20" s="40" t="s">
        <v>1345</v>
      </c>
      <c r="F20" s="22">
        <v>9250</v>
      </c>
      <c r="G20" s="22">
        <v>43000</v>
      </c>
      <c r="H20" s="23">
        <f>21000+9250</f>
        <v>30250</v>
      </c>
      <c r="I20" s="22">
        <f t="shared" si="2"/>
        <v>12750</v>
      </c>
      <c r="J20" s="22" t="s">
        <v>16</v>
      </c>
      <c r="K20" s="24"/>
      <c r="L20" s="25"/>
    </row>
    <row r="21" spans="1:12" ht="15.75" x14ac:dyDescent="0.25">
      <c r="A21" s="20" t="s">
        <v>25</v>
      </c>
      <c r="B21" s="21" t="s">
        <v>1391</v>
      </c>
      <c r="C21" s="28" t="s">
        <v>1392</v>
      </c>
      <c r="D21" s="29" t="s">
        <v>551</v>
      </c>
      <c r="E21" s="40" t="s">
        <v>1393</v>
      </c>
      <c r="F21" s="22">
        <v>585</v>
      </c>
      <c r="G21" s="22">
        <v>91000</v>
      </c>
      <c r="H21" s="23">
        <v>585</v>
      </c>
      <c r="I21" s="22">
        <f t="shared" ref="I21" si="3">G21-H21</f>
        <v>90415</v>
      </c>
      <c r="J21" s="22" t="s">
        <v>16</v>
      </c>
      <c r="K21" s="24"/>
      <c r="L21" s="25"/>
    </row>
    <row r="22" spans="1:12" ht="16.5" thickBot="1" x14ac:dyDescent="0.3">
      <c r="A22" s="43"/>
      <c r="B22" s="44"/>
      <c r="C22" s="45"/>
      <c r="D22" s="67"/>
      <c r="E22" s="47"/>
      <c r="F22" s="48"/>
      <c r="G22" s="62"/>
      <c r="H22" s="49"/>
      <c r="I22" s="48"/>
      <c r="J22" s="48"/>
      <c r="K22" s="50"/>
      <c r="L22" s="51"/>
    </row>
    <row r="23" spans="1:12" ht="16.5" thickBot="1" x14ac:dyDescent="0.3">
      <c r="A23" s="71"/>
      <c r="B23" s="72"/>
      <c r="C23" s="73"/>
      <c r="D23" s="74"/>
      <c r="E23" s="75"/>
      <c r="F23" s="76"/>
      <c r="G23" s="76"/>
      <c r="H23" s="77"/>
      <c r="I23" s="76"/>
      <c r="J23" s="76"/>
      <c r="K23" s="78"/>
      <c r="L23" s="79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2:L21"/>
  <sheetViews>
    <sheetView workbookViewId="0">
      <pane xSplit="3" topLeftCell="F1" activePane="topRight" state="frozen"/>
      <selection pane="topRight" activeCell="A5" sqref="A5:XFD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1401</v>
      </c>
      <c r="C4" s="26" t="s">
        <v>1373</v>
      </c>
      <c r="D4" s="65" t="s">
        <v>18</v>
      </c>
      <c r="E4" s="39" t="s">
        <v>1156</v>
      </c>
      <c r="F4" s="16">
        <v>3000</v>
      </c>
      <c r="G4" s="16">
        <v>75000</v>
      </c>
      <c r="H4" s="17">
        <v>51000</v>
      </c>
      <c r="I4" s="16">
        <f t="shared" ref="I4:I6" si="0">G4-H4</f>
        <v>24000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1418</v>
      </c>
      <c r="C5" s="28" t="s">
        <v>701</v>
      </c>
      <c r="D5" s="66" t="s">
        <v>43</v>
      </c>
      <c r="E5" s="40" t="s">
        <v>38</v>
      </c>
      <c r="F5" s="22">
        <v>358.3</v>
      </c>
      <c r="G5" s="22">
        <v>2000</v>
      </c>
      <c r="H5" s="23">
        <v>900.9</v>
      </c>
      <c r="I5" s="22">
        <f t="shared" si="0"/>
        <v>1099.0999999999999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1417</v>
      </c>
      <c r="C6" s="28" t="s">
        <v>137</v>
      </c>
      <c r="D6" s="66" t="s">
        <v>293</v>
      </c>
      <c r="E6" s="40" t="s">
        <v>348</v>
      </c>
      <c r="F6" s="22">
        <v>475.2</v>
      </c>
      <c r="G6" s="42">
        <v>500</v>
      </c>
      <c r="H6" s="23">
        <v>475.2</v>
      </c>
      <c r="I6" s="22">
        <f t="shared" si="0"/>
        <v>24.800000000000011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1415</v>
      </c>
      <c r="C7" s="28" t="s">
        <v>1416</v>
      </c>
      <c r="D7" s="66" t="s">
        <v>293</v>
      </c>
      <c r="E7" s="40" t="s">
        <v>348</v>
      </c>
      <c r="F7" s="22">
        <v>475.2</v>
      </c>
      <c r="G7" s="22">
        <v>500</v>
      </c>
      <c r="H7" s="23">
        <v>475.2</v>
      </c>
      <c r="I7" s="22">
        <f>G7-H7</f>
        <v>24.800000000000011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1413</v>
      </c>
      <c r="C8" s="28" t="s">
        <v>1414</v>
      </c>
      <c r="D8" s="66" t="s">
        <v>452</v>
      </c>
      <c r="E8" s="40" t="s">
        <v>218</v>
      </c>
      <c r="F8" s="22">
        <v>1000</v>
      </c>
      <c r="G8" s="22">
        <v>12000</v>
      </c>
      <c r="H8" s="23">
        <v>1000</v>
      </c>
      <c r="I8" s="22">
        <f>G8-H8</f>
        <v>11000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1389</v>
      </c>
      <c r="C9" s="28" t="s">
        <v>1390</v>
      </c>
      <c r="D9" s="66" t="s">
        <v>77</v>
      </c>
      <c r="E9" s="40" t="s">
        <v>1136</v>
      </c>
      <c r="F9" s="22">
        <v>1400</v>
      </c>
      <c r="G9" s="22">
        <v>11000</v>
      </c>
      <c r="H9" s="23">
        <f>4700+1400</f>
        <v>6100</v>
      </c>
      <c r="I9" s="22">
        <f>G9-H9</f>
        <v>4900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1408</v>
      </c>
      <c r="C10" s="28" t="s">
        <v>1409</v>
      </c>
      <c r="D10" s="29" t="s">
        <v>27</v>
      </c>
      <c r="E10" s="40" t="s">
        <v>1210</v>
      </c>
      <c r="F10" s="22">
        <v>12400</v>
      </c>
      <c r="G10" s="22">
        <v>10000</v>
      </c>
      <c r="H10" s="23">
        <v>12400</v>
      </c>
      <c r="I10" s="22">
        <f>G10-H10</f>
        <v>-2400</v>
      </c>
      <c r="J10" s="22" t="s">
        <v>24</v>
      </c>
      <c r="K10" s="24"/>
      <c r="L10" s="25"/>
    </row>
    <row r="11" spans="1:12" ht="15.75" x14ac:dyDescent="0.25">
      <c r="A11" s="20" t="s">
        <v>21</v>
      </c>
      <c r="B11" s="21" t="s">
        <v>1410</v>
      </c>
      <c r="C11" s="28" t="s">
        <v>1411</v>
      </c>
      <c r="D11" s="29" t="s">
        <v>27</v>
      </c>
      <c r="E11" s="40" t="s">
        <v>1412</v>
      </c>
      <c r="F11" s="22">
        <v>2047</v>
      </c>
      <c r="G11" s="22">
        <v>4500</v>
      </c>
      <c r="H11" s="23">
        <v>2047</v>
      </c>
      <c r="I11" s="22">
        <f t="shared" ref="I11:I19" si="1">G11-H11</f>
        <v>2453</v>
      </c>
      <c r="J11" s="22" t="s">
        <v>16</v>
      </c>
      <c r="K11" s="24"/>
      <c r="L11" s="25"/>
    </row>
    <row r="12" spans="1:12" ht="15.75" x14ac:dyDescent="0.25">
      <c r="A12" s="20" t="s">
        <v>346</v>
      </c>
      <c r="B12" s="21" t="s">
        <v>1419</v>
      </c>
      <c r="C12" s="28" t="s">
        <v>61</v>
      </c>
      <c r="D12" s="29" t="s">
        <v>1011</v>
      </c>
      <c r="E12" s="40" t="s">
        <v>46</v>
      </c>
      <c r="F12" s="22">
        <v>185</v>
      </c>
      <c r="G12" s="22">
        <v>200</v>
      </c>
      <c r="H12" s="23">
        <v>185</v>
      </c>
      <c r="I12" s="22">
        <f>G12-H12</f>
        <v>15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1406</v>
      </c>
      <c r="C13" s="28" t="s">
        <v>287</v>
      </c>
      <c r="D13" s="29" t="s">
        <v>42</v>
      </c>
      <c r="E13" s="40" t="s">
        <v>1407</v>
      </c>
      <c r="F13" s="22">
        <v>1250</v>
      </c>
      <c r="G13" s="22">
        <v>10000</v>
      </c>
      <c r="H13" s="23">
        <v>1250</v>
      </c>
      <c r="I13" s="22">
        <f t="shared" si="1"/>
        <v>8750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1402</v>
      </c>
      <c r="C14" s="28" t="s">
        <v>15</v>
      </c>
      <c r="D14" s="66" t="s">
        <v>1394</v>
      </c>
      <c r="E14" s="40" t="s">
        <v>940</v>
      </c>
      <c r="F14" s="22">
        <v>120000</v>
      </c>
      <c r="G14" s="22">
        <v>2000000</v>
      </c>
      <c r="H14" s="23">
        <f>100000+120000</f>
        <v>220000</v>
      </c>
      <c r="I14" s="22">
        <f t="shared" si="1"/>
        <v>1780000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1405</v>
      </c>
      <c r="C15" s="28" t="s">
        <v>15</v>
      </c>
      <c r="D15" s="66" t="s">
        <v>18</v>
      </c>
      <c r="E15" s="40" t="s">
        <v>1348</v>
      </c>
      <c r="F15" s="22">
        <v>10000</v>
      </c>
      <c r="G15" s="22">
        <v>50000</v>
      </c>
      <c r="H15" s="23">
        <v>10000</v>
      </c>
      <c r="I15" s="22">
        <f t="shared" si="1"/>
        <v>40000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1349</v>
      </c>
      <c r="C16" s="28" t="s">
        <v>1309</v>
      </c>
      <c r="D16" s="29" t="s">
        <v>71</v>
      </c>
      <c r="E16" s="40" t="s">
        <v>222</v>
      </c>
      <c r="F16" s="22">
        <v>14000</v>
      </c>
      <c r="G16" s="42">
        <v>80000</v>
      </c>
      <c r="H16" s="23">
        <f>40000+14000</f>
        <v>54000</v>
      </c>
      <c r="I16" s="22">
        <f t="shared" si="1"/>
        <v>26000</v>
      </c>
      <c r="J16" s="22" t="s">
        <v>16</v>
      </c>
      <c r="K16" s="24"/>
      <c r="L16" s="25"/>
    </row>
    <row r="17" spans="1:12" ht="15.75" x14ac:dyDescent="0.25">
      <c r="A17" s="20" t="s">
        <v>20</v>
      </c>
      <c r="B17" s="21" t="s">
        <v>1404</v>
      </c>
      <c r="C17" s="28" t="s">
        <v>29</v>
      </c>
      <c r="D17" s="66" t="s">
        <v>18</v>
      </c>
      <c r="E17" s="40" t="s">
        <v>517</v>
      </c>
      <c r="F17" s="22">
        <v>4639</v>
      </c>
      <c r="G17" s="22">
        <v>34000</v>
      </c>
      <c r="H17" s="23">
        <v>34639</v>
      </c>
      <c r="I17" s="22">
        <f t="shared" si="1"/>
        <v>-639</v>
      </c>
      <c r="J17" s="22" t="s">
        <v>24</v>
      </c>
      <c r="K17" s="24"/>
      <c r="L17" s="25"/>
    </row>
    <row r="18" spans="1:12" ht="15.75" x14ac:dyDescent="0.25">
      <c r="A18" s="20" t="s">
        <v>44</v>
      </c>
      <c r="B18" s="21" t="s">
        <v>1403</v>
      </c>
      <c r="C18" s="28" t="s">
        <v>666</v>
      </c>
      <c r="D18" s="66" t="s">
        <v>260</v>
      </c>
      <c r="E18" s="40" t="s">
        <v>667</v>
      </c>
      <c r="F18" s="22">
        <v>23000</v>
      </c>
      <c r="G18" s="22">
        <v>20000</v>
      </c>
      <c r="H18" s="23">
        <v>23000</v>
      </c>
      <c r="I18" s="22">
        <f t="shared" si="1"/>
        <v>-3000</v>
      </c>
      <c r="J18" s="22" t="s">
        <v>24</v>
      </c>
      <c r="K18" s="24"/>
      <c r="L18" s="25"/>
    </row>
    <row r="19" spans="1:12" ht="15.75" x14ac:dyDescent="0.25">
      <c r="A19" s="20" t="s">
        <v>25</v>
      </c>
      <c r="B19" s="21" t="s">
        <v>1391</v>
      </c>
      <c r="C19" s="28" t="s">
        <v>1392</v>
      </c>
      <c r="D19" s="29" t="s">
        <v>551</v>
      </c>
      <c r="E19" s="40" t="s">
        <v>1393</v>
      </c>
      <c r="F19" s="22">
        <v>450</v>
      </c>
      <c r="G19" s="22">
        <v>91000</v>
      </c>
      <c r="H19" s="23">
        <f>585+450</f>
        <v>1035</v>
      </c>
      <c r="I19" s="22">
        <f t="shared" si="1"/>
        <v>89965</v>
      </c>
      <c r="J19" s="22" t="s">
        <v>16</v>
      </c>
      <c r="K19" s="24"/>
      <c r="L19" s="25"/>
    </row>
    <row r="20" spans="1:12" ht="16.5" thickBot="1" x14ac:dyDescent="0.3">
      <c r="A20" s="43"/>
      <c r="B20" s="44"/>
      <c r="C20" s="45"/>
      <c r="D20" s="67"/>
      <c r="E20" s="47"/>
      <c r="F20" s="48"/>
      <c r="G20" s="62"/>
      <c r="H20" s="49"/>
      <c r="I20" s="48"/>
      <c r="J20" s="48"/>
      <c r="K20" s="50"/>
      <c r="L20" s="51"/>
    </row>
    <row r="21" spans="1:12" ht="16.5" thickBot="1" x14ac:dyDescent="0.3">
      <c r="A21" s="71"/>
      <c r="B21" s="72"/>
      <c r="C21" s="73"/>
      <c r="D21" s="74"/>
      <c r="E21" s="75"/>
      <c r="F21" s="76"/>
      <c r="G21" s="76"/>
      <c r="H21" s="77"/>
      <c r="I21" s="76"/>
      <c r="J21" s="76"/>
      <c r="K21" s="78"/>
      <c r="L21" s="79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2:L19"/>
  <sheetViews>
    <sheetView workbookViewId="0">
      <pane xSplit="3" topLeftCell="E1" activePane="topRight" state="frozen"/>
      <selection pane="topRight" activeCell="H9" sqref="H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1417</v>
      </c>
      <c r="C4" s="26" t="s">
        <v>15</v>
      </c>
      <c r="D4" s="65" t="s">
        <v>68</v>
      </c>
      <c r="E4" s="39" t="s">
        <v>69</v>
      </c>
      <c r="F4" s="16">
        <f>30000+80000</f>
        <v>110000</v>
      </c>
      <c r="G4" s="16">
        <v>1000000</v>
      </c>
      <c r="H4" s="17">
        <f>360000+110000</f>
        <v>470000</v>
      </c>
      <c r="I4" s="16">
        <f t="shared" ref="I4:I6" si="0">G4-H4</f>
        <v>530000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1421</v>
      </c>
      <c r="C5" s="28" t="s">
        <v>1422</v>
      </c>
      <c r="D5" s="66" t="s">
        <v>18</v>
      </c>
      <c r="E5" s="40" t="s">
        <v>1423</v>
      </c>
      <c r="F5" s="22">
        <f>7500+12000</f>
        <v>19500</v>
      </c>
      <c r="G5" s="22">
        <v>19000</v>
      </c>
      <c r="H5" s="23">
        <v>19500</v>
      </c>
      <c r="I5" s="22">
        <f t="shared" si="0"/>
        <v>-500</v>
      </c>
      <c r="J5" s="22" t="s">
        <v>24</v>
      </c>
      <c r="K5" s="24"/>
      <c r="L5" s="25"/>
    </row>
    <row r="6" spans="1:12" ht="15.75" x14ac:dyDescent="0.25">
      <c r="A6" s="20" t="s">
        <v>19</v>
      </c>
      <c r="B6" s="21" t="s">
        <v>1425</v>
      </c>
      <c r="C6" s="28" t="s">
        <v>630</v>
      </c>
      <c r="D6" s="66" t="s">
        <v>1426</v>
      </c>
      <c r="E6" s="40" t="s">
        <v>399</v>
      </c>
      <c r="F6" s="22">
        <v>10450</v>
      </c>
      <c r="G6" s="42">
        <v>30000</v>
      </c>
      <c r="H6" s="23">
        <v>10450</v>
      </c>
      <c r="I6" s="22">
        <f t="shared" si="0"/>
        <v>19550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1428</v>
      </c>
      <c r="C7" s="28" t="s">
        <v>1227</v>
      </c>
      <c r="D7" s="66" t="s">
        <v>27</v>
      </c>
      <c r="E7" s="40" t="s">
        <v>491</v>
      </c>
      <c r="F7" s="22">
        <v>48000</v>
      </c>
      <c r="G7" s="22">
        <v>120000</v>
      </c>
      <c r="H7" s="23">
        <v>48000</v>
      </c>
      <c r="I7" s="22">
        <f>G7-H7</f>
        <v>72000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1413</v>
      </c>
      <c r="C8" s="28" t="s">
        <v>1414</v>
      </c>
      <c r="D8" s="66" t="s">
        <v>452</v>
      </c>
      <c r="E8" s="40" t="s">
        <v>218</v>
      </c>
      <c r="F8" s="22">
        <v>10550</v>
      </c>
      <c r="G8" s="22">
        <v>12000</v>
      </c>
      <c r="H8" s="23">
        <f>1000+10550</f>
        <v>11550</v>
      </c>
      <c r="I8" s="22">
        <f>G8-H8</f>
        <v>450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1389</v>
      </c>
      <c r="C9" s="28" t="s">
        <v>1390</v>
      </c>
      <c r="D9" s="66" t="s">
        <v>77</v>
      </c>
      <c r="E9" s="40" t="s">
        <v>1136</v>
      </c>
      <c r="F9" s="22">
        <f>2500+850</f>
        <v>3350</v>
      </c>
      <c r="G9" s="22">
        <v>11000</v>
      </c>
      <c r="H9" s="23">
        <f>4700+1400+3350</f>
        <v>9450</v>
      </c>
      <c r="I9" s="22">
        <f>G9-H9</f>
        <v>1550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1429</v>
      </c>
      <c r="C10" s="28" t="s">
        <v>15</v>
      </c>
      <c r="D10" s="29" t="s">
        <v>73</v>
      </c>
      <c r="E10" s="40" t="s">
        <v>74</v>
      </c>
      <c r="F10" s="22">
        <v>2050</v>
      </c>
      <c r="G10" s="22">
        <v>50000</v>
      </c>
      <c r="H10" s="23">
        <v>2050</v>
      </c>
      <c r="I10" s="22">
        <f>G10-H10</f>
        <v>47950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1420</v>
      </c>
      <c r="C11" s="28" t="s">
        <v>287</v>
      </c>
      <c r="D11" s="29" t="s">
        <v>42</v>
      </c>
      <c r="E11" s="40" t="s">
        <v>624</v>
      </c>
      <c r="F11" s="22">
        <v>10460</v>
      </c>
      <c r="G11" s="22">
        <v>10000</v>
      </c>
      <c r="H11" s="23">
        <v>10460</v>
      </c>
      <c r="I11" s="22">
        <f t="shared" ref="I11:I17" si="1">G11-H11</f>
        <v>-460</v>
      </c>
      <c r="J11" s="22" t="s">
        <v>24</v>
      </c>
      <c r="K11" s="24"/>
      <c r="L11" s="25"/>
    </row>
    <row r="12" spans="1:12" ht="15.75" x14ac:dyDescent="0.25">
      <c r="A12" s="20" t="s">
        <v>21</v>
      </c>
      <c r="B12" s="21" t="s">
        <v>1427</v>
      </c>
      <c r="C12" s="28" t="s">
        <v>462</v>
      </c>
      <c r="D12" s="66" t="s">
        <v>18</v>
      </c>
      <c r="E12" s="40" t="s">
        <v>640</v>
      </c>
      <c r="F12" s="22">
        <v>27310</v>
      </c>
      <c r="G12" s="22">
        <v>100000</v>
      </c>
      <c r="H12" s="23">
        <v>27310</v>
      </c>
      <c r="I12" s="22">
        <f t="shared" si="1"/>
        <v>72690</v>
      </c>
      <c r="J12" s="22" t="s">
        <v>16</v>
      </c>
      <c r="K12" s="24"/>
      <c r="L12" s="25"/>
    </row>
    <row r="13" spans="1:12" ht="15.75" x14ac:dyDescent="0.25">
      <c r="A13" s="20" t="s">
        <v>228</v>
      </c>
      <c r="B13" s="21" t="s">
        <v>1405</v>
      </c>
      <c r="C13" s="28" t="s">
        <v>15</v>
      </c>
      <c r="D13" s="66" t="s">
        <v>18</v>
      </c>
      <c r="E13" s="40" t="s">
        <v>1348</v>
      </c>
      <c r="F13" s="22">
        <f>6000+16000</f>
        <v>22000</v>
      </c>
      <c r="G13" s="22">
        <v>50000</v>
      </c>
      <c r="H13" s="23">
        <f>10000+22000</f>
        <v>32000</v>
      </c>
      <c r="I13" s="22">
        <f t="shared" si="1"/>
        <v>18000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1349</v>
      </c>
      <c r="C14" s="28" t="s">
        <v>1309</v>
      </c>
      <c r="D14" s="29" t="s">
        <v>71</v>
      </c>
      <c r="E14" s="40" t="s">
        <v>222</v>
      </c>
      <c r="F14" s="22">
        <v>36150</v>
      </c>
      <c r="G14" s="42">
        <v>80000</v>
      </c>
      <c r="H14" s="23">
        <f>40000+14000+36150</f>
        <v>90150</v>
      </c>
      <c r="I14" s="22">
        <f t="shared" si="1"/>
        <v>-10150</v>
      </c>
      <c r="J14" s="22" t="s">
        <v>24</v>
      </c>
      <c r="K14" s="24"/>
      <c r="L14" s="25"/>
    </row>
    <row r="15" spans="1:12" ht="15.75" x14ac:dyDescent="0.25">
      <c r="A15" s="20" t="s">
        <v>40</v>
      </c>
      <c r="B15" s="21" t="s">
        <v>1144</v>
      </c>
      <c r="C15" s="28" t="s">
        <v>62</v>
      </c>
      <c r="D15" s="66" t="s">
        <v>54</v>
      </c>
      <c r="E15" s="40" t="s">
        <v>1267</v>
      </c>
      <c r="F15" s="22">
        <v>3000</v>
      </c>
      <c r="G15" s="42">
        <v>300000</v>
      </c>
      <c r="H15" s="23">
        <f>123000+29000+30000+25000+3000</f>
        <v>210000</v>
      </c>
      <c r="I15" s="22">
        <f t="shared" si="1"/>
        <v>90000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1424</v>
      </c>
      <c r="C16" s="28" t="s">
        <v>210</v>
      </c>
      <c r="D16" s="29" t="s">
        <v>18</v>
      </c>
      <c r="E16" s="40" t="s">
        <v>427</v>
      </c>
      <c r="F16" s="22">
        <f>6000+30000+39000</f>
        <v>75000</v>
      </c>
      <c r="G16" s="42">
        <v>300000</v>
      </c>
      <c r="H16" s="23">
        <f>36000+39000</f>
        <v>75000</v>
      </c>
      <c r="I16" s="22">
        <f>G16-H16</f>
        <v>225000</v>
      </c>
      <c r="J16" s="22" t="s">
        <v>16</v>
      </c>
      <c r="K16" s="24"/>
      <c r="L16" s="25"/>
    </row>
    <row r="17" spans="1:12" ht="15.75" x14ac:dyDescent="0.25">
      <c r="A17" s="20" t="s">
        <v>25</v>
      </c>
      <c r="B17" s="21" t="s">
        <v>1391</v>
      </c>
      <c r="C17" s="28" t="s">
        <v>1392</v>
      </c>
      <c r="D17" s="29" t="s">
        <v>551</v>
      </c>
      <c r="E17" s="40" t="s">
        <v>1393</v>
      </c>
      <c r="F17" s="22">
        <v>1060</v>
      </c>
      <c r="G17" s="22">
        <v>91000</v>
      </c>
      <c r="H17" s="23">
        <f>585+450+1060</f>
        <v>2095</v>
      </c>
      <c r="I17" s="22">
        <f t="shared" si="1"/>
        <v>88905</v>
      </c>
      <c r="J17" s="22" t="s">
        <v>16</v>
      </c>
      <c r="K17" s="24"/>
      <c r="L17" s="25"/>
    </row>
    <row r="18" spans="1:12" ht="16.5" thickBot="1" x14ac:dyDescent="0.3">
      <c r="A18" s="43"/>
      <c r="B18" s="44"/>
      <c r="C18" s="45"/>
      <c r="D18" s="67"/>
      <c r="E18" s="47"/>
      <c r="F18" s="48"/>
      <c r="G18" s="62"/>
      <c r="H18" s="49"/>
      <c r="I18" s="48"/>
      <c r="J18" s="48"/>
      <c r="K18" s="50"/>
      <c r="L18" s="51"/>
    </row>
    <row r="19" spans="1:12" ht="16.5" thickBot="1" x14ac:dyDescent="0.3">
      <c r="A19" s="71"/>
      <c r="B19" s="72"/>
      <c r="C19" s="73"/>
      <c r="D19" s="74"/>
      <c r="E19" s="75"/>
      <c r="F19" s="76"/>
      <c r="G19" s="76"/>
      <c r="H19" s="77"/>
      <c r="I19" s="76"/>
      <c r="J19" s="76"/>
      <c r="K19" s="78"/>
      <c r="L19" s="79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2:L25"/>
  <sheetViews>
    <sheetView workbookViewId="0">
      <pane xSplit="3" topLeftCell="E1" activePane="topRight" state="frozen"/>
      <selection pane="topRight" activeCell="I9" sqref="I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1417</v>
      </c>
      <c r="C4" s="26" t="s">
        <v>15</v>
      </c>
      <c r="D4" s="65" t="s">
        <v>68</v>
      </c>
      <c r="E4" s="39" t="s">
        <v>69</v>
      </c>
      <c r="F4" s="16">
        <v>26000</v>
      </c>
      <c r="G4" s="16">
        <v>1000000</v>
      </c>
      <c r="H4" s="17">
        <f>360000+110000+26000</f>
        <v>496000</v>
      </c>
      <c r="I4" s="16">
        <f t="shared" ref="I4:I6" si="0">G4-H4</f>
        <v>504000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1430</v>
      </c>
      <c r="C5" s="28" t="s">
        <v>833</v>
      </c>
      <c r="D5" s="66" t="s">
        <v>48</v>
      </c>
      <c r="E5" s="40" t="s">
        <v>834</v>
      </c>
      <c r="F5" s="22">
        <v>15000</v>
      </c>
      <c r="G5" s="22">
        <v>100000</v>
      </c>
      <c r="H5" s="23">
        <v>15000</v>
      </c>
      <c r="I5" s="22">
        <f t="shared" si="0"/>
        <v>85000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1436</v>
      </c>
      <c r="C6" s="28" t="s">
        <v>1409</v>
      </c>
      <c r="D6" s="66" t="s">
        <v>18</v>
      </c>
      <c r="E6" s="40" t="s">
        <v>1437</v>
      </c>
      <c r="F6" s="22">
        <v>3850</v>
      </c>
      <c r="G6" s="42">
        <v>4000</v>
      </c>
      <c r="H6" s="23">
        <v>3850</v>
      </c>
      <c r="I6" s="22">
        <f t="shared" si="0"/>
        <v>150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1428</v>
      </c>
      <c r="C7" s="28" t="s">
        <v>1227</v>
      </c>
      <c r="D7" s="66" t="s">
        <v>27</v>
      </c>
      <c r="E7" s="40" t="s">
        <v>491</v>
      </c>
      <c r="F7" s="22">
        <v>56000</v>
      </c>
      <c r="G7" s="22">
        <v>120000</v>
      </c>
      <c r="H7" s="23">
        <f>48000+56000</f>
        <v>104000</v>
      </c>
      <c r="I7" s="22">
        <f>G7-H7</f>
        <v>16000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1438</v>
      </c>
      <c r="C8" s="28" t="s">
        <v>66</v>
      </c>
      <c r="D8" s="66" t="s">
        <v>18</v>
      </c>
      <c r="E8" s="40" t="s">
        <v>148</v>
      </c>
      <c r="F8" s="22">
        <v>12000</v>
      </c>
      <c r="G8" s="22">
        <v>30000</v>
      </c>
      <c r="H8" s="23">
        <v>12000</v>
      </c>
      <c r="I8" s="22">
        <f>G8-H8</f>
        <v>18000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1389</v>
      </c>
      <c r="C9" s="28" t="s">
        <v>1390</v>
      </c>
      <c r="D9" s="66" t="s">
        <v>77</v>
      </c>
      <c r="E9" s="40" t="s">
        <v>1136</v>
      </c>
      <c r="F9" s="22">
        <v>1685</v>
      </c>
      <c r="G9" s="22">
        <v>11000</v>
      </c>
      <c r="H9" s="23">
        <f>4700+1400+3350+1685</f>
        <v>11135</v>
      </c>
      <c r="I9" s="22">
        <f>G9-H9</f>
        <v>-135</v>
      </c>
      <c r="J9" s="22" t="s">
        <v>24</v>
      </c>
      <c r="K9" s="24"/>
      <c r="L9" s="25"/>
    </row>
    <row r="10" spans="1:12" ht="15.75" x14ac:dyDescent="0.25">
      <c r="A10" s="20" t="s">
        <v>14</v>
      </c>
      <c r="B10" s="21" t="s">
        <v>1439</v>
      </c>
      <c r="C10" s="28" t="s">
        <v>1440</v>
      </c>
      <c r="D10" s="29" t="s">
        <v>18</v>
      </c>
      <c r="E10" s="40" t="s">
        <v>1441</v>
      </c>
      <c r="F10" s="22">
        <v>1000</v>
      </c>
      <c r="G10" s="22">
        <v>1000</v>
      </c>
      <c r="H10" s="23">
        <v>1000</v>
      </c>
      <c r="I10" s="22">
        <f>G10-H10</f>
        <v>0</v>
      </c>
      <c r="J10" s="22" t="s">
        <v>23</v>
      </c>
      <c r="K10" s="24"/>
      <c r="L10" s="25"/>
    </row>
    <row r="11" spans="1:12" ht="15.75" x14ac:dyDescent="0.25">
      <c r="A11" s="20" t="s">
        <v>17</v>
      </c>
      <c r="B11" s="21" t="s">
        <v>1406</v>
      </c>
      <c r="C11" s="28" t="s">
        <v>287</v>
      </c>
      <c r="D11" s="29" t="s">
        <v>42</v>
      </c>
      <c r="E11" s="40" t="s">
        <v>1407</v>
      </c>
      <c r="F11" s="22">
        <v>1000</v>
      </c>
      <c r="G11" s="22">
        <v>10000</v>
      </c>
      <c r="H11" s="23">
        <f>1250+1000</f>
        <v>2250</v>
      </c>
      <c r="I11" s="22">
        <f t="shared" ref="I11" si="1">G11-H11</f>
        <v>7750</v>
      </c>
      <c r="J11" s="22" t="s">
        <v>16</v>
      </c>
      <c r="K11" s="24"/>
      <c r="L11" s="25"/>
    </row>
    <row r="12" spans="1:12" ht="15.75" x14ac:dyDescent="0.25">
      <c r="A12" s="20" t="s">
        <v>44</v>
      </c>
      <c r="B12" s="21" t="s">
        <v>1403</v>
      </c>
      <c r="C12" s="28" t="s">
        <v>259</v>
      </c>
      <c r="D12" s="66" t="s">
        <v>260</v>
      </c>
      <c r="E12" s="40" t="s">
        <v>667</v>
      </c>
      <c r="F12" s="22">
        <v>4750</v>
      </c>
      <c r="G12" s="22">
        <v>20000</v>
      </c>
      <c r="H12" s="23">
        <v>27756</v>
      </c>
      <c r="I12" s="22">
        <f t="shared" ref="I12:I23" si="2">G12-H12</f>
        <v>-7756</v>
      </c>
      <c r="J12" s="22" t="s">
        <v>24</v>
      </c>
      <c r="K12" s="24"/>
      <c r="L12" s="25"/>
    </row>
    <row r="13" spans="1:12" ht="15.75" x14ac:dyDescent="0.25">
      <c r="A13" s="20" t="s">
        <v>228</v>
      </c>
      <c r="B13" s="21" t="s">
        <v>1405</v>
      </c>
      <c r="C13" s="28" t="s">
        <v>15</v>
      </c>
      <c r="D13" s="66" t="s">
        <v>18</v>
      </c>
      <c r="E13" s="40" t="s">
        <v>1348</v>
      </c>
      <c r="F13" s="22">
        <f>17000+1900</f>
        <v>18900</v>
      </c>
      <c r="G13" s="22">
        <v>50000</v>
      </c>
      <c r="H13" s="23">
        <f>10000+22000+18900</f>
        <v>50900</v>
      </c>
      <c r="I13" s="22">
        <f t="shared" si="2"/>
        <v>-900</v>
      </c>
      <c r="J13" s="22" t="s">
        <v>24</v>
      </c>
      <c r="K13" s="24"/>
      <c r="L13" s="25"/>
    </row>
    <row r="14" spans="1:12" ht="15.75" x14ac:dyDescent="0.25">
      <c r="A14" s="20" t="s">
        <v>19</v>
      </c>
      <c r="B14" s="21" t="s">
        <v>1442</v>
      </c>
      <c r="C14" s="28" t="s">
        <v>15</v>
      </c>
      <c r="D14" s="66" t="s">
        <v>53</v>
      </c>
      <c r="E14" s="40" t="s">
        <v>369</v>
      </c>
      <c r="F14" s="22">
        <v>18000</v>
      </c>
      <c r="G14" s="22">
        <v>20000</v>
      </c>
      <c r="H14" s="23">
        <v>18000</v>
      </c>
      <c r="I14" s="22">
        <f>G14-H14</f>
        <v>2000</v>
      </c>
      <c r="J14" s="22" t="s">
        <v>16</v>
      </c>
      <c r="K14" s="24"/>
      <c r="L14" s="25"/>
    </row>
    <row r="15" spans="1:12" ht="15.75" x14ac:dyDescent="0.25">
      <c r="A15" s="20" t="s">
        <v>22</v>
      </c>
      <c r="B15" s="21" t="s">
        <v>1417</v>
      </c>
      <c r="C15" s="28" t="s">
        <v>137</v>
      </c>
      <c r="D15" s="66" t="s">
        <v>293</v>
      </c>
      <c r="E15" s="40" t="s">
        <v>348</v>
      </c>
      <c r="F15" s="22">
        <v>30.9</v>
      </c>
      <c r="G15" s="42">
        <v>500</v>
      </c>
      <c r="H15" s="23">
        <f>475.2+30.9</f>
        <v>506.09999999999997</v>
      </c>
      <c r="I15" s="22">
        <f t="shared" ref="I15:I16" si="3">G15-H15</f>
        <v>-6.0999999999999659</v>
      </c>
      <c r="J15" s="22" t="s">
        <v>24</v>
      </c>
      <c r="K15" s="24"/>
      <c r="L15" s="25"/>
    </row>
    <row r="16" spans="1:12" ht="15.75" x14ac:dyDescent="0.25">
      <c r="A16" s="20" t="s">
        <v>22</v>
      </c>
      <c r="B16" s="21" t="s">
        <v>1418</v>
      </c>
      <c r="C16" s="28" t="s">
        <v>701</v>
      </c>
      <c r="D16" s="66" t="s">
        <v>43</v>
      </c>
      <c r="E16" s="40" t="s">
        <v>38</v>
      </c>
      <c r="F16" s="22">
        <v>360.5</v>
      </c>
      <c r="G16" s="22">
        <v>2000</v>
      </c>
      <c r="H16" s="23">
        <f>900.9+360.5</f>
        <v>1261.4000000000001</v>
      </c>
      <c r="I16" s="22">
        <f t="shared" si="3"/>
        <v>738.59999999999991</v>
      </c>
      <c r="J16" s="22" t="s">
        <v>16</v>
      </c>
      <c r="K16" s="24"/>
      <c r="L16" s="25"/>
    </row>
    <row r="17" spans="1:12" ht="15.75" x14ac:dyDescent="0.25">
      <c r="A17" s="20" t="s">
        <v>22</v>
      </c>
      <c r="B17" s="21" t="s">
        <v>1115</v>
      </c>
      <c r="C17" s="28" t="s">
        <v>1069</v>
      </c>
      <c r="D17" s="66" t="s">
        <v>440</v>
      </c>
      <c r="E17" s="40" t="s">
        <v>1443</v>
      </c>
      <c r="F17" s="22">
        <v>56.3</v>
      </c>
      <c r="G17" s="22">
        <v>50</v>
      </c>
      <c r="H17" s="23">
        <v>56.3</v>
      </c>
      <c r="I17" s="22">
        <f>G17-H17</f>
        <v>-6.2999999999999972</v>
      </c>
      <c r="J17" s="22" t="s">
        <v>24</v>
      </c>
      <c r="K17" s="24"/>
      <c r="L17" s="25"/>
    </row>
    <row r="18" spans="1:12" ht="15.75" x14ac:dyDescent="0.25">
      <c r="A18" s="20" t="s">
        <v>22</v>
      </c>
      <c r="B18" s="21" t="s">
        <v>1432</v>
      </c>
      <c r="C18" s="28" t="s">
        <v>883</v>
      </c>
      <c r="D18" s="66" t="s">
        <v>1286</v>
      </c>
      <c r="E18" s="40" t="s">
        <v>1433</v>
      </c>
      <c r="F18" s="22">
        <v>3.5</v>
      </c>
      <c r="G18" s="22">
        <v>5</v>
      </c>
      <c r="H18" s="23">
        <v>3.5</v>
      </c>
      <c r="I18" s="22">
        <f>G18-H18</f>
        <v>1.5</v>
      </c>
      <c r="J18" s="22" t="s">
        <v>23</v>
      </c>
      <c r="K18" s="24"/>
      <c r="L18" s="25"/>
    </row>
    <row r="19" spans="1:12" ht="15.75" x14ac:dyDescent="0.25">
      <c r="A19" s="20" t="s">
        <v>22</v>
      </c>
      <c r="B19" s="21" t="s">
        <v>1434</v>
      </c>
      <c r="C19" s="28" t="s">
        <v>883</v>
      </c>
      <c r="D19" s="66" t="s">
        <v>1286</v>
      </c>
      <c r="E19" s="40" t="s">
        <v>1435</v>
      </c>
      <c r="F19" s="22">
        <v>6.8</v>
      </c>
      <c r="G19" s="22">
        <v>5</v>
      </c>
      <c r="H19" s="23">
        <v>6.8</v>
      </c>
      <c r="I19" s="22">
        <f>G19-H19</f>
        <v>-1.7999999999999998</v>
      </c>
      <c r="J19" s="22" t="s">
        <v>23</v>
      </c>
      <c r="K19" s="24"/>
      <c r="L19" s="25"/>
    </row>
    <row r="20" spans="1:12" ht="15.75" x14ac:dyDescent="0.25">
      <c r="A20" s="20" t="s">
        <v>228</v>
      </c>
      <c r="B20" s="21" t="s">
        <v>1381</v>
      </c>
      <c r="C20" s="28" t="s">
        <v>15</v>
      </c>
      <c r="D20" s="29" t="s">
        <v>18</v>
      </c>
      <c r="E20" s="40" t="s">
        <v>230</v>
      </c>
      <c r="F20" s="22">
        <v>30000</v>
      </c>
      <c r="G20" s="42">
        <v>200000</v>
      </c>
      <c r="H20" s="23">
        <v>30000</v>
      </c>
      <c r="I20" s="22">
        <f t="shared" si="2"/>
        <v>170000</v>
      </c>
      <c r="J20" s="22" t="s">
        <v>16</v>
      </c>
      <c r="K20" s="24"/>
      <c r="L20" s="25"/>
    </row>
    <row r="21" spans="1:12" ht="15.75" x14ac:dyDescent="0.25">
      <c r="A21" s="20" t="s">
        <v>40</v>
      </c>
      <c r="B21" s="21" t="s">
        <v>1144</v>
      </c>
      <c r="C21" s="28" t="s">
        <v>62</v>
      </c>
      <c r="D21" s="66" t="s">
        <v>54</v>
      </c>
      <c r="E21" s="40" t="s">
        <v>1267</v>
      </c>
      <c r="F21" s="22">
        <v>12000</v>
      </c>
      <c r="G21" s="42">
        <v>300000</v>
      </c>
      <c r="H21" s="23">
        <f>123000+29000+30000+25000+3000+12000</f>
        <v>222000</v>
      </c>
      <c r="I21" s="22">
        <f t="shared" si="2"/>
        <v>78000</v>
      </c>
      <c r="J21" s="22" t="s">
        <v>16</v>
      </c>
      <c r="K21" s="24"/>
      <c r="L21" s="25"/>
    </row>
    <row r="22" spans="1:12" ht="15.75" x14ac:dyDescent="0.25">
      <c r="A22" s="20" t="s">
        <v>17</v>
      </c>
      <c r="B22" s="21" t="s">
        <v>1431</v>
      </c>
      <c r="C22" s="28" t="s">
        <v>870</v>
      </c>
      <c r="D22" s="29" t="s">
        <v>18</v>
      </c>
      <c r="E22" s="40" t="s">
        <v>342</v>
      </c>
      <c r="F22" s="22">
        <f>75+1925</f>
        <v>2000</v>
      </c>
      <c r="G22" s="42">
        <v>2000</v>
      </c>
      <c r="H22" s="23">
        <v>2000</v>
      </c>
      <c r="I22" s="22">
        <f>G22-H22</f>
        <v>0</v>
      </c>
      <c r="J22" s="22" t="s">
        <v>23</v>
      </c>
      <c r="K22" s="24"/>
      <c r="L22" s="25"/>
    </row>
    <row r="23" spans="1:12" ht="15.75" x14ac:dyDescent="0.25">
      <c r="A23" s="20" t="s">
        <v>25</v>
      </c>
      <c r="B23" s="21" t="s">
        <v>1391</v>
      </c>
      <c r="C23" s="28" t="s">
        <v>1392</v>
      </c>
      <c r="D23" s="29" t="s">
        <v>551</v>
      </c>
      <c r="E23" s="40" t="s">
        <v>1393</v>
      </c>
      <c r="F23" s="22">
        <v>410</v>
      </c>
      <c r="G23" s="22">
        <v>91000</v>
      </c>
      <c r="H23" s="23">
        <f>585+450+1060+410</f>
        <v>2505</v>
      </c>
      <c r="I23" s="22">
        <f t="shared" si="2"/>
        <v>88495</v>
      </c>
      <c r="J23" s="22" t="s">
        <v>16</v>
      </c>
      <c r="K23" s="24"/>
      <c r="L23" s="25"/>
    </row>
    <row r="24" spans="1:12" ht="16.5" thickBot="1" x14ac:dyDescent="0.3">
      <c r="A24" s="43"/>
      <c r="B24" s="44"/>
      <c r="C24" s="45"/>
      <c r="D24" s="67"/>
      <c r="E24" s="47"/>
      <c r="F24" s="48"/>
      <c r="G24" s="62"/>
      <c r="H24" s="49"/>
      <c r="I24" s="48"/>
      <c r="J24" s="48"/>
      <c r="K24" s="50"/>
      <c r="L24" s="51"/>
    </row>
    <row r="25" spans="1:12" ht="16.5" thickBot="1" x14ac:dyDescent="0.3">
      <c r="A25" s="71"/>
      <c r="B25" s="72"/>
      <c r="C25" s="73"/>
      <c r="D25" s="74"/>
      <c r="E25" s="75"/>
      <c r="F25" s="76"/>
      <c r="G25" s="76"/>
      <c r="H25" s="77"/>
      <c r="I25" s="76"/>
      <c r="J25" s="76"/>
      <c r="K25" s="78"/>
      <c r="L25" s="79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2:L27"/>
  <sheetViews>
    <sheetView workbookViewId="0">
      <pane xSplit="3" topLeftCell="F1" activePane="topRight" state="frozen"/>
      <selection pane="topRight" activeCell="A16" sqref="A16:XFD1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1381</v>
      </c>
      <c r="C4" s="26" t="s">
        <v>15</v>
      </c>
      <c r="D4" s="65" t="s">
        <v>1444</v>
      </c>
      <c r="E4" s="39" t="s">
        <v>69</v>
      </c>
      <c r="F4" s="16">
        <v>10000</v>
      </c>
      <c r="G4" s="16">
        <v>1000000</v>
      </c>
      <c r="H4" s="17">
        <f>360000+110000+26000+10000</f>
        <v>506000</v>
      </c>
      <c r="I4" s="16">
        <f t="shared" ref="I4:I6" si="0">G4-H4</f>
        <v>494000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1430</v>
      </c>
      <c r="C5" s="28" t="s">
        <v>833</v>
      </c>
      <c r="D5" s="66" t="s">
        <v>48</v>
      </c>
      <c r="E5" s="40" t="s">
        <v>834</v>
      </c>
      <c r="F5" s="22">
        <v>9000</v>
      </c>
      <c r="G5" s="22">
        <v>100000</v>
      </c>
      <c r="H5" s="23">
        <f>15000+9000</f>
        <v>24000</v>
      </c>
      <c r="I5" s="22">
        <f t="shared" si="0"/>
        <v>76000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1449</v>
      </c>
      <c r="C6" s="28" t="s">
        <v>15</v>
      </c>
      <c r="D6" s="66" t="s">
        <v>18</v>
      </c>
      <c r="E6" s="40" t="s">
        <v>848</v>
      </c>
      <c r="F6" s="22">
        <v>8000</v>
      </c>
      <c r="G6" s="42">
        <v>10000</v>
      </c>
      <c r="H6" s="23">
        <v>8000</v>
      </c>
      <c r="I6" s="22">
        <f t="shared" si="0"/>
        <v>2000</v>
      </c>
      <c r="J6" s="22" t="s">
        <v>16</v>
      </c>
      <c r="K6" s="24"/>
      <c r="L6" s="25"/>
    </row>
    <row r="7" spans="1:12" ht="15.75" x14ac:dyDescent="0.25">
      <c r="A7" s="20" t="s">
        <v>21</v>
      </c>
      <c r="B7" s="21" t="s">
        <v>1428</v>
      </c>
      <c r="C7" s="28" t="s">
        <v>1227</v>
      </c>
      <c r="D7" s="66" t="s">
        <v>27</v>
      </c>
      <c r="E7" s="40" t="s">
        <v>491</v>
      </c>
      <c r="F7" s="22">
        <v>15327</v>
      </c>
      <c r="G7" s="22">
        <v>120000</v>
      </c>
      <c r="H7" s="23">
        <f>48000+56000+15327</f>
        <v>119327</v>
      </c>
      <c r="I7" s="22">
        <f>G7-H7</f>
        <v>673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1438</v>
      </c>
      <c r="C8" s="28" t="s">
        <v>66</v>
      </c>
      <c r="D8" s="66" t="s">
        <v>18</v>
      </c>
      <c r="E8" s="40" t="s">
        <v>148</v>
      </c>
      <c r="F8" s="22">
        <v>20000</v>
      </c>
      <c r="G8" s="22">
        <v>30000</v>
      </c>
      <c r="H8" s="23">
        <f>12000+20000</f>
        <v>32000</v>
      </c>
      <c r="I8" s="22">
        <f>G8-H8</f>
        <v>-2000</v>
      </c>
      <c r="J8" s="22" t="s">
        <v>24</v>
      </c>
      <c r="K8" s="24"/>
      <c r="L8" s="25"/>
    </row>
    <row r="9" spans="1:12" ht="15.75" x14ac:dyDescent="0.25">
      <c r="A9" s="20" t="s">
        <v>22</v>
      </c>
      <c r="B9" s="21" t="s">
        <v>1450</v>
      </c>
      <c r="C9" s="28" t="s">
        <v>993</v>
      </c>
      <c r="D9" s="66" t="s">
        <v>283</v>
      </c>
      <c r="E9" s="40" t="s">
        <v>566</v>
      </c>
      <c r="F9" s="22">
        <v>280.2</v>
      </c>
      <c r="G9" s="22">
        <v>1000</v>
      </c>
      <c r="H9" s="23">
        <v>280.2</v>
      </c>
      <c r="I9" s="22">
        <f>G9-H9</f>
        <v>719.8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1439</v>
      </c>
      <c r="C10" s="28" t="s">
        <v>1440</v>
      </c>
      <c r="D10" s="29" t="s">
        <v>18</v>
      </c>
      <c r="E10" s="40" t="s">
        <v>1441</v>
      </c>
      <c r="F10" s="22">
        <v>1000</v>
      </c>
      <c r="G10" s="22">
        <v>5000</v>
      </c>
      <c r="H10" s="23">
        <v>1000</v>
      </c>
      <c r="I10" s="22">
        <f>G10-H10</f>
        <v>4000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1406</v>
      </c>
      <c r="C11" s="28" t="s">
        <v>287</v>
      </c>
      <c r="D11" s="29" t="s">
        <v>42</v>
      </c>
      <c r="E11" s="40" t="s">
        <v>1407</v>
      </c>
      <c r="F11" s="22">
        <v>750</v>
      </c>
      <c r="G11" s="22">
        <v>10000</v>
      </c>
      <c r="H11" s="23">
        <f>1250+1000+750</f>
        <v>3000</v>
      </c>
      <c r="I11" s="22">
        <f t="shared" ref="I11:I25" si="1">G11-H11</f>
        <v>7000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1451</v>
      </c>
      <c r="C12" s="28" t="s">
        <v>1220</v>
      </c>
      <c r="D12" s="66" t="s">
        <v>27</v>
      </c>
      <c r="E12" s="40" t="s">
        <v>1452</v>
      </c>
      <c r="F12" s="22">
        <v>12000</v>
      </c>
      <c r="G12" s="22">
        <v>100000</v>
      </c>
      <c r="H12" s="23">
        <v>12000</v>
      </c>
      <c r="I12" s="22">
        <f t="shared" si="1"/>
        <v>88000</v>
      </c>
      <c r="J12" s="22" t="s">
        <v>16</v>
      </c>
      <c r="K12" s="24"/>
      <c r="L12" s="25"/>
    </row>
    <row r="13" spans="1:12" ht="15.75" x14ac:dyDescent="0.25">
      <c r="A13" s="20" t="s">
        <v>228</v>
      </c>
      <c r="B13" s="21" t="s">
        <v>1185</v>
      </c>
      <c r="C13" s="28" t="s">
        <v>15</v>
      </c>
      <c r="D13" s="66" t="s">
        <v>18</v>
      </c>
      <c r="E13" s="40" t="s">
        <v>1348</v>
      </c>
      <c r="F13" s="22">
        <v>8400</v>
      </c>
      <c r="G13" s="22">
        <v>50000</v>
      </c>
      <c r="H13" s="23">
        <v>47300</v>
      </c>
      <c r="I13" s="22">
        <f t="shared" si="1"/>
        <v>2700</v>
      </c>
      <c r="J13" s="22" t="s">
        <v>16</v>
      </c>
      <c r="K13" s="24"/>
      <c r="L13" s="25"/>
    </row>
    <row r="14" spans="1:12" ht="15.75" x14ac:dyDescent="0.25">
      <c r="A14" s="20" t="s">
        <v>19</v>
      </c>
      <c r="B14" s="21" t="s">
        <v>1442</v>
      </c>
      <c r="C14" s="28" t="s">
        <v>15</v>
      </c>
      <c r="D14" s="66" t="s">
        <v>53</v>
      </c>
      <c r="E14" s="40" t="s">
        <v>369</v>
      </c>
      <c r="F14" s="22">
        <v>5000</v>
      </c>
      <c r="G14" s="22">
        <v>20000</v>
      </c>
      <c r="H14" s="23">
        <f>18000+5000</f>
        <v>23000</v>
      </c>
      <c r="I14" s="22">
        <f>G14-H14</f>
        <v>-3000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1185</v>
      </c>
      <c r="C15" s="28" t="s">
        <v>15</v>
      </c>
      <c r="D15" s="66" t="s">
        <v>293</v>
      </c>
      <c r="E15" s="40" t="s">
        <v>348</v>
      </c>
      <c r="F15" s="22">
        <v>30.9</v>
      </c>
      <c r="G15" s="42">
        <v>500</v>
      </c>
      <c r="H15" s="23">
        <f>475.2+30.9</f>
        <v>506.09999999999997</v>
      </c>
      <c r="I15" s="22">
        <f t="shared" ref="I15:I16" si="2">G15-H15</f>
        <v>-6.0999999999999659</v>
      </c>
      <c r="J15" s="22" t="s">
        <v>24</v>
      </c>
      <c r="K15" s="24"/>
      <c r="L15" s="25"/>
    </row>
    <row r="16" spans="1:12" ht="15.75" x14ac:dyDescent="0.25">
      <c r="A16" s="20" t="s">
        <v>22</v>
      </c>
      <c r="B16" s="21" t="s">
        <v>1258</v>
      </c>
      <c r="C16" s="28" t="s">
        <v>204</v>
      </c>
      <c r="D16" s="66" t="s">
        <v>43</v>
      </c>
      <c r="E16" s="40" t="s">
        <v>206</v>
      </c>
      <c r="F16" s="22">
        <v>377.3</v>
      </c>
      <c r="G16" s="22">
        <v>3000</v>
      </c>
      <c r="H16" s="23">
        <v>377.3</v>
      </c>
      <c r="I16" s="22">
        <f t="shared" si="2"/>
        <v>2622.7</v>
      </c>
      <c r="J16" s="22" t="s">
        <v>16</v>
      </c>
      <c r="K16" s="24"/>
      <c r="L16" s="25"/>
    </row>
    <row r="17" spans="1:12" ht="15.75" x14ac:dyDescent="0.25">
      <c r="A17" s="20" t="s">
        <v>22</v>
      </c>
      <c r="B17" s="21" t="s">
        <v>1445</v>
      </c>
      <c r="C17" s="28" t="s">
        <v>1069</v>
      </c>
      <c r="D17" s="66" t="s">
        <v>290</v>
      </c>
      <c r="E17" s="40" t="s">
        <v>365</v>
      </c>
      <c r="F17" s="22">
        <v>1000</v>
      </c>
      <c r="G17" s="22">
        <v>30000</v>
      </c>
      <c r="H17" s="23">
        <v>1000</v>
      </c>
      <c r="I17" s="22">
        <f>G17-H17</f>
        <v>29000</v>
      </c>
      <c r="J17" s="22" t="s">
        <v>16</v>
      </c>
      <c r="K17" s="24"/>
      <c r="L17" s="25"/>
    </row>
    <row r="18" spans="1:12" ht="15.75" x14ac:dyDescent="0.25">
      <c r="A18" s="20" t="s">
        <v>569</v>
      </c>
      <c r="B18" s="21" t="s">
        <v>1259</v>
      </c>
      <c r="C18" s="28" t="s">
        <v>151</v>
      </c>
      <c r="D18" s="66" t="s">
        <v>283</v>
      </c>
      <c r="E18" s="40" t="s">
        <v>1260</v>
      </c>
      <c r="F18" s="22">
        <v>810</v>
      </c>
      <c r="G18" s="22">
        <v>30000</v>
      </c>
      <c r="H18" s="23">
        <v>5711.8</v>
      </c>
      <c r="I18" s="22">
        <f>G18-H18</f>
        <v>24288.2</v>
      </c>
      <c r="J18" s="22" t="s">
        <v>16</v>
      </c>
      <c r="K18" s="24"/>
      <c r="L18" s="25"/>
    </row>
    <row r="19" spans="1:12" ht="15.75" x14ac:dyDescent="0.25">
      <c r="A19" s="20" t="s">
        <v>569</v>
      </c>
      <c r="B19" s="21" t="s">
        <v>1453</v>
      </c>
      <c r="C19" s="28" t="s">
        <v>15</v>
      </c>
      <c r="D19" s="66" t="s">
        <v>1454</v>
      </c>
      <c r="E19" s="40" t="s">
        <v>549</v>
      </c>
      <c r="F19" s="22">
        <v>559.5</v>
      </c>
      <c r="G19" s="22">
        <v>500</v>
      </c>
      <c r="H19" s="23">
        <v>559.5</v>
      </c>
      <c r="I19" s="22">
        <f>G19-H19</f>
        <v>-59.5</v>
      </c>
      <c r="J19" s="22" t="s">
        <v>24</v>
      </c>
      <c r="K19" s="24"/>
      <c r="L19" s="25"/>
    </row>
    <row r="20" spans="1:12" ht="15.75" x14ac:dyDescent="0.25">
      <c r="A20" s="20" t="s">
        <v>21</v>
      </c>
      <c r="B20" s="21" t="s">
        <v>1089</v>
      </c>
      <c r="C20" s="28" t="s">
        <v>1458</v>
      </c>
      <c r="D20" s="66" t="s">
        <v>1459</v>
      </c>
      <c r="E20" s="40" t="s">
        <v>1460</v>
      </c>
      <c r="F20" s="22">
        <v>35000</v>
      </c>
      <c r="G20" s="22">
        <v>200000</v>
      </c>
      <c r="H20" s="23">
        <v>35000</v>
      </c>
      <c r="I20" s="22">
        <f>G20-H20</f>
        <v>165000</v>
      </c>
      <c r="J20" s="22" t="s">
        <v>16</v>
      </c>
      <c r="K20" s="24"/>
      <c r="L20" s="25"/>
    </row>
    <row r="21" spans="1:12" ht="15.75" x14ac:dyDescent="0.25">
      <c r="A21" s="20" t="s">
        <v>22</v>
      </c>
      <c r="B21" s="21" t="s">
        <v>1434</v>
      </c>
      <c r="C21" s="28" t="s">
        <v>1446</v>
      </c>
      <c r="D21" s="66" t="s">
        <v>1447</v>
      </c>
      <c r="E21" s="40" t="s">
        <v>1448</v>
      </c>
      <c r="F21" s="22">
        <v>3.9</v>
      </c>
      <c r="G21" s="22">
        <v>5</v>
      </c>
      <c r="H21" s="23">
        <v>3.9</v>
      </c>
      <c r="I21" s="22">
        <f>G21-H21</f>
        <v>1.1000000000000001</v>
      </c>
      <c r="J21" s="22" t="s">
        <v>23</v>
      </c>
      <c r="K21" s="24"/>
      <c r="L21" s="25"/>
    </row>
    <row r="22" spans="1:12" ht="15.75" x14ac:dyDescent="0.25">
      <c r="A22" s="20" t="s">
        <v>459</v>
      </c>
      <c r="B22" s="21">
        <v>726134</v>
      </c>
      <c r="C22" s="28" t="s">
        <v>865</v>
      </c>
      <c r="D22" s="29" t="s">
        <v>283</v>
      </c>
      <c r="E22" s="40" t="s">
        <v>866</v>
      </c>
      <c r="F22" s="22">
        <v>689.75</v>
      </c>
      <c r="G22" s="42">
        <v>900</v>
      </c>
      <c r="H22" s="23">
        <v>689.75</v>
      </c>
      <c r="I22" s="22">
        <f t="shared" si="1"/>
        <v>210.25</v>
      </c>
      <c r="J22" s="22" t="s">
        <v>16</v>
      </c>
      <c r="K22" s="24"/>
      <c r="L22" s="25"/>
    </row>
    <row r="23" spans="1:12" ht="15.75" x14ac:dyDescent="0.25">
      <c r="A23" s="20" t="s">
        <v>40</v>
      </c>
      <c r="B23" s="21" t="s">
        <v>1144</v>
      </c>
      <c r="C23" s="28" t="s">
        <v>62</v>
      </c>
      <c r="D23" s="66" t="s">
        <v>54</v>
      </c>
      <c r="E23" s="40" t="s">
        <v>1267</v>
      </c>
      <c r="F23" s="22">
        <v>15000</v>
      </c>
      <c r="G23" s="42">
        <v>300000</v>
      </c>
      <c r="H23" s="23">
        <f>123000+29000+30000+25000+3000+12000+15000</f>
        <v>237000</v>
      </c>
      <c r="I23" s="22">
        <f t="shared" si="1"/>
        <v>63000</v>
      </c>
      <c r="J23" s="22" t="s">
        <v>16</v>
      </c>
      <c r="K23" s="24"/>
      <c r="L23" s="25"/>
    </row>
    <row r="24" spans="1:12" ht="15.75" x14ac:dyDescent="0.25">
      <c r="A24" s="20" t="s">
        <v>17</v>
      </c>
      <c r="B24" s="21" t="s">
        <v>1431</v>
      </c>
      <c r="C24" s="28" t="s">
        <v>870</v>
      </c>
      <c r="D24" s="29" t="s">
        <v>18</v>
      </c>
      <c r="E24" s="40" t="s">
        <v>342</v>
      </c>
      <c r="F24" s="22">
        <v>3600</v>
      </c>
      <c r="G24" s="42">
        <v>7000</v>
      </c>
      <c r="H24" s="23">
        <f>2000+3600</f>
        <v>5600</v>
      </c>
      <c r="I24" s="22">
        <f>G24-H24</f>
        <v>1400</v>
      </c>
      <c r="J24" s="22" t="s">
        <v>16</v>
      </c>
      <c r="K24" s="24"/>
      <c r="L24" s="25"/>
    </row>
    <row r="25" spans="1:12" ht="15.75" x14ac:dyDescent="0.25">
      <c r="A25" s="20" t="s">
        <v>25</v>
      </c>
      <c r="B25" s="21" t="s">
        <v>1391</v>
      </c>
      <c r="C25" s="28" t="s">
        <v>1392</v>
      </c>
      <c r="D25" s="29" t="s">
        <v>551</v>
      </c>
      <c r="E25" s="40" t="s">
        <v>1393</v>
      </c>
      <c r="F25" s="22">
        <v>450</v>
      </c>
      <c r="G25" s="22">
        <v>91000</v>
      </c>
      <c r="H25" s="23">
        <f>585+450+1060+410+450</f>
        <v>2955</v>
      </c>
      <c r="I25" s="22">
        <f t="shared" si="1"/>
        <v>88045</v>
      </c>
      <c r="J25" s="22" t="s">
        <v>16</v>
      </c>
      <c r="K25" s="24"/>
      <c r="L25" s="25"/>
    </row>
    <row r="26" spans="1:12" ht="16.5" thickBot="1" x14ac:dyDescent="0.3">
      <c r="A26" s="43"/>
      <c r="B26" s="44"/>
      <c r="C26" s="45"/>
      <c r="D26" s="67"/>
      <c r="E26" s="47"/>
      <c r="F26" s="48"/>
      <c r="G26" s="62"/>
      <c r="H26" s="49"/>
      <c r="I26" s="48"/>
      <c r="J26" s="48"/>
      <c r="K26" s="50"/>
      <c r="L26" s="51"/>
    </row>
    <row r="27" spans="1:12" ht="16.5" thickBot="1" x14ac:dyDescent="0.3">
      <c r="A27" s="71"/>
      <c r="B27" s="72"/>
      <c r="C27" s="73"/>
      <c r="D27" s="74"/>
      <c r="E27" s="75"/>
      <c r="F27" s="76"/>
      <c r="G27" s="76"/>
      <c r="H27" s="77"/>
      <c r="I27" s="76"/>
      <c r="J27" s="76"/>
      <c r="K27" s="78"/>
      <c r="L27" s="79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2:L22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1381</v>
      </c>
      <c r="C4" s="26" t="s">
        <v>15</v>
      </c>
      <c r="D4" s="65" t="s">
        <v>1444</v>
      </c>
      <c r="E4" s="39" t="s">
        <v>1455</v>
      </c>
      <c r="F4" s="16">
        <v>60000</v>
      </c>
      <c r="G4" s="16">
        <v>1000000</v>
      </c>
      <c r="H4" s="17">
        <f>360000+110000+26000+10000+60000</f>
        <v>566000</v>
      </c>
      <c r="I4" s="16">
        <f t="shared" ref="I4:I6" si="0">G4-H4</f>
        <v>434000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1465</v>
      </c>
      <c r="C5" s="28" t="s">
        <v>1466</v>
      </c>
      <c r="D5" s="66" t="s">
        <v>18</v>
      </c>
      <c r="E5" s="40" t="s">
        <v>1467</v>
      </c>
      <c r="F5" s="22">
        <v>4922</v>
      </c>
      <c r="G5" s="22">
        <v>5000</v>
      </c>
      <c r="H5" s="23">
        <v>4922</v>
      </c>
      <c r="I5" s="22">
        <f t="shared" si="0"/>
        <v>78</v>
      </c>
      <c r="J5" s="22" t="s">
        <v>31</v>
      </c>
      <c r="K5" s="24"/>
      <c r="L5" s="25"/>
    </row>
    <row r="6" spans="1:12" ht="15.75" x14ac:dyDescent="0.25">
      <c r="A6" s="20" t="s">
        <v>228</v>
      </c>
      <c r="B6" s="21" t="s">
        <v>1384</v>
      </c>
      <c r="C6" s="28" t="s">
        <v>15</v>
      </c>
      <c r="D6" s="66" t="s">
        <v>18</v>
      </c>
      <c r="E6" s="40" t="s">
        <v>39</v>
      </c>
      <c r="F6" s="22">
        <v>44000</v>
      </c>
      <c r="G6" s="42">
        <v>100000</v>
      </c>
      <c r="H6" s="23">
        <v>44000</v>
      </c>
      <c r="I6" s="22">
        <f t="shared" si="0"/>
        <v>56000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1468</v>
      </c>
      <c r="C7" s="28" t="s">
        <v>1469</v>
      </c>
      <c r="D7" s="66" t="s">
        <v>1286</v>
      </c>
      <c r="E7" s="40" t="s">
        <v>351</v>
      </c>
      <c r="F7" s="22">
        <v>511.5</v>
      </c>
      <c r="G7" s="22">
        <v>500</v>
      </c>
      <c r="H7" s="23">
        <v>511.5</v>
      </c>
      <c r="I7" s="22">
        <f>G7-H7</f>
        <v>-11.5</v>
      </c>
      <c r="J7" s="22" t="s">
        <v>24</v>
      </c>
      <c r="K7" s="24"/>
      <c r="L7" s="25"/>
    </row>
    <row r="8" spans="1:12" ht="15.75" x14ac:dyDescent="0.25">
      <c r="A8" s="20" t="s">
        <v>22</v>
      </c>
      <c r="B8" s="21" t="s">
        <v>1470</v>
      </c>
      <c r="C8" s="28" t="s">
        <v>1471</v>
      </c>
      <c r="D8" s="66" t="s">
        <v>1286</v>
      </c>
      <c r="E8" s="40" t="s">
        <v>351</v>
      </c>
      <c r="F8" s="22">
        <v>33.6</v>
      </c>
      <c r="G8" s="22">
        <v>40</v>
      </c>
      <c r="H8" s="23">
        <v>33.6</v>
      </c>
      <c r="I8" s="22">
        <f>G8-H8</f>
        <v>6.3999999999999986</v>
      </c>
      <c r="J8" s="22" t="s">
        <v>23</v>
      </c>
      <c r="K8" s="24"/>
      <c r="L8" s="25"/>
    </row>
    <row r="9" spans="1:12" ht="15.75" x14ac:dyDescent="0.25">
      <c r="A9" s="20" t="s">
        <v>22</v>
      </c>
      <c r="B9" s="21" t="s">
        <v>1450</v>
      </c>
      <c r="C9" s="28" t="s">
        <v>993</v>
      </c>
      <c r="D9" s="66" t="s">
        <v>283</v>
      </c>
      <c r="E9" s="40" t="s">
        <v>566</v>
      </c>
      <c r="F9" s="22">
        <v>20.6</v>
      </c>
      <c r="G9" s="22">
        <v>1000</v>
      </c>
      <c r="H9" s="23">
        <f>280.2+20.6</f>
        <v>300.8</v>
      </c>
      <c r="I9" s="22">
        <f>G9-H9</f>
        <v>699.2</v>
      </c>
      <c r="J9" s="22" t="s">
        <v>16</v>
      </c>
      <c r="K9" s="24"/>
      <c r="L9" s="25"/>
    </row>
    <row r="10" spans="1:12" ht="15.75" x14ac:dyDescent="0.25">
      <c r="A10" s="20" t="s">
        <v>17</v>
      </c>
      <c r="B10" s="21" t="s">
        <v>1406</v>
      </c>
      <c r="C10" s="28" t="s">
        <v>287</v>
      </c>
      <c r="D10" s="29" t="s">
        <v>42</v>
      </c>
      <c r="E10" s="40" t="s">
        <v>1407</v>
      </c>
      <c r="F10" s="22">
        <v>1250</v>
      </c>
      <c r="G10" s="22">
        <v>10000</v>
      </c>
      <c r="H10" s="23">
        <f>1250+1000+750+1250</f>
        <v>4250</v>
      </c>
      <c r="I10" s="22">
        <f t="shared" ref="I10:I20" si="1">G10-H10</f>
        <v>5750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1451</v>
      </c>
      <c r="C11" s="28" t="s">
        <v>1220</v>
      </c>
      <c r="D11" s="66" t="s">
        <v>27</v>
      </c>
      <c r="E11" s="40" t="s">
        <v>1452</v>
      </c>
      <c r="F11" s="22">
        <v>57549</v>
      </c>
      <c r="G11" s="22">
        <v>100000</v>
      </c>
      <c r="H11" s="23">
        <f>12000+57549</f>
        <v>69549</v>
      </c>
      <c r="I11" s="22">
        <f t="shared" si="1"/>
        <v>30451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1445</v>
      </c>
      <c r="C12" s="28" t="s">
        <v>1069</v>
      </c>
      <c r="D12" s="66" t="s">
        <v>290</v>
      </c>
      <c r="E12" s="40" t="s">
        <v>365</v>
      </c>
      <c r="F12" s="22">
        <v>4435</v>
      </c>
      <c r="G12" s="22">
        <v>30000</v>
      </c>
      <c r="H12" s="23">
        <f>1000+4435</f>
        <v>5435</v>
      </c>
      <c r="I12" s="22">
        <f>G12-H12</f>
        <v>24565</v>
      </c>
      <c r="J12" s="22" t="s">
        <v>16</v>
      </c>
      <c r="K12" s="24"/>
      <c r="L12" s="25"/>
    </row>
    <row r="13" spans="1:12" ht="15.75" x14ac:dyDescent="0.25">
      <c r="A13" s="20" t="s">
        <v>14</v>
      </c>
      <c r="B13" s="21" t="s">
        <v>1462</v>
      </c>
      <c r="C13" s="28" t="s">
        <v>1463</v>
      </c>
      <c r="D13" s="66" t="s">
        <v>18</v>
      </c>
      <c r="E13" s="40" t="s">
        <v>1464</v>
      </c>
      <c r="F13" s="22">
        <v>9825</v>
      </c>
      <c r="G13" s="22">
        <v>10000</v>
      </c>
      <c r="H13" s="23">
        <v>9825</v>
      </c>
      <c r="I13" s="22">
        <f>G13-H13</f>
        <v>175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1461</v>
      </c>
      <c r="C14" s="28" t="s">
        <v>1048</v>
      </c>
      <c r="D14" s="66" t="s">
        <v>73</v>
      </c>
      <c r="E14" s="40" t="s">
        <v>402</v>
      </c>
      <c r="F14" s="22">
        <v>2500</v>
      </c>
      <c r="G14" s="22">
        <v>5000</v>
      </c>
      <c r="H14" s="23">
        <v>2500</v>
      </c>
      <c r="I14" s="22">
        <f>G14-H14</f>
        <v>2500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1089</v>
      </c>
      <c r="C15" s="28" t="s">
        <v>1458</v>
      </c>
      <c r="D15" s="66" t="s">
        <v>1459</v>
      </c>
      <c r="E15" s="40" t="s">
        <v>1460</v>
      </c>
      <c r="F15" s="22">
        <v>6550</v>
      </c>
      <c r="G15" s="22">
        <v>200000</v>
      </c>
      <c r="H15" s="23">
        <f>35000+6550</f>
        <v>41550</v>
      </c>
      <c r="I15" s="22">
        <f>G15-H15</f>
        <v>158450</v>
      </c>
      <c r="J15" s="22" t="s">
        <v>16</v>
      </c>
      <c r="K15" s="24"/>
      <c r="L15" s="25"/>
    </row>
    <row r="16" spans="1:12" ht="15.75" x14ac:dyDescent="0.25">
      <c r="A16" s="20" t="s">
        <v>459</v>
      </c>
      <c r="B16" s="21">
        <v>726134</v>
      </c>
      <c r="C16" s="28" t="s">
        <v>865</v>
      </c>
      <c r="D16" s="29" t="s">
        <v>283</v>
      </c>
      <c r="E16" s="40" t="s">
        <v>866</v>
      </c>
      <c r="F16" s="22">
        <v>186.95</v>
      </c>
      <c r="G16" s="42">
        <v>900</v>
      </c>
      <c r="H16" s="23">
        <f>689.75+186.95</f>
        <v>876.7</v>
      </c>
      <c r="I16" s="22">
        <f t="shared" si="1"/>
        <v>23.299999999999955</v>
      </c>
      <c r="J16" s="22" t="s">
        <v>16</v>
      </c>
      <c r="K16" s="24"/>
      <c r="L16" s="25"/>
    </row>
    <row r="17" spans="1:12" ht="15.75" x14ac:dyDescent="0.25">
      <c r="A17" s="20" t="s">
        <v>40</v>
      </c>
      <c r="B17" s="21" t="s">
        <v>1456</v>
      </c>
      <c r="C17" s="28" t="s">
        <v>62</v>
      </c>
      <c r="D17" s="66" t="s">
        <v>54</v>
      </c>
      <c r="E17" s="40" t="s">
        <v>1267</v>
      </c>
      <c r="F17" s="22">
        <v>14000</v>
      </c>
      <c r="G17" s="42">
        <v>300000</v>
      </c>
      <c r="H17" s="23">
        <v>14000</v>
      </c>
      <c r="I17" s="22">
        <f t="shared" si="1"/>
        <v>286000</v>
      </c>
      <c r="J17" s="22" t="s">
        <v>16</v>
      </c>
      <c r="K17" s="24"/>
      <c r="L17" s="25"/>
    </row>
    <row r="18" spans="1:12" ht="15.75" x14ac:dyDescent="0.25">
      <c r="A18" s="20" t="s">
        <v>17</v>
      </c>
      <c r="B18" s="21" t="s">
        <v>1457</v>
      </c>
      <c r="C18" s="28" t="s">
        <v>870</v>
      </c>
      <c r="D18" s="66" t="s">
        <v>18</v>
      </c>
      <c r="E18" s="40" t="s">
        <v>342</v>
      </c>
      <c r="F18" s="22">
        <v>323</v>
      </c>
      <c r="G18" s="42">
        <v>1500</v>
      </c>
      <c r="H18" s="23">
        <v>323</v>
      </c>
      <c r="I18" s="22">
        <f t="shared" si="1"/>
        <v>1177</v>
      </c>
      <c r="J18" s="22" t="s">
        <v>16</v>
      </c>
      <c r="K18" s="24"/>
      <c r="L18" s="25"/>
    </row>
    <row r="19" spans="1:12" ht="15.75" x14ac:dyDescent="0.25">
      <c r="A19" s="20" t="s">
        <v>17</v>
      </c>
      <c r="B19" s="21" t="s">
        <v>1431</v>
      </c>
      <c r="C19" s="28" t="s">
        <v>870</v>
      </c>
      <c r="D19" s="29" t="s">
        <v>18</v>
      </c>
      <c r="E19" s="40" t="s">
        <v>342</v>
      </c>
      <c r="F19" s="22">
        <v>1400</v>
      </c>
      <c r="G19" s="42">
        <v>7000</v>
      </c>
      <c r="H19" s="23">
        <f>2000+3600+1400</f>
        <v>7000</v>
      </c>
      <c r="I19" s="22">
        <f>G19-H19</f>
        <v>0</v>
      </c>
      <c r="J19" s="22" t="s">
        <v>23</v>
      </c>
      <c r="K19" s="24"/>
      <c r="L19" s="25"/>
    </row>
    <row r="20" spans="1:12" ht="15.75" x14ac:dyDescent="0.25">
      <c r="A20" s="20" t="s">
        <v>25</v>
      </c>
      <c r="B20" s="21" t="s">
        <v>1391</v>
      </c>
      <c r="C20" s="28" t="s">
        <v>1392</v>
      </c>
      <c r="D20" s="29" t="s">
        <v>551</v>
      </c>
      <c r="E20" s="40" t="s">
        <v>1393</v>
      </c>
      <c r="F20" s="22">
        <v>445</v>
      </c>
      <c r="G20" s="22">
        <v>91000</v>
      </c>
      <c r="H20" s="23">
        <f>585+450+1060+410+450+445</f>
        <v>3400</v>
      </c>
      <c r="I20" s="22">
        <f t="shared" si="1"/>
        <v>87600</v>
      </c>
      <c r="J20" s="22" t="s">
        <v>16</v>
      </c>
      <c r="K20" s="24"/>
      <c r="L20" s="25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2:L21"/>
  <sheetViews>
    <sheetView workbookViewId="0">
      <pane xSplit="3" topLeftCell="D1" activePane="topRight" state="frozen"/>
      <selection pane="topRight" activeCell="A17" sqref="A17:XFD1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1381</v>
      </c>
      <c r="C4" s="26" t="s">
        <v>15</v>
      </c>
      <c r="D4" s="65" t="s">
        <v>1444</v>
      </c>
      <c r="E4" s="39" t="s">
        <v>1455</v>
      </c>
      <c r="F4" s="16">
        <v>80000</v>
      </c>
      <c r="G4" s="16">
        <v>1000000</v>
      </c>
      <c r="H4" s="17">
        <f>360000+110000+26000+10000+60000+80000</f>
        <v>646000</v>
      </c>
      <c r="I4" s="16">
        <f t="shared" ref="I4:I6" si="0">G4-H4</f>
        <v>354000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1356</v>
      </c>
      <c r="C5" s="28" t="s">
        <v>1475</v>
      </c>
      <c r="D5" s="66" t="s">
        <v>1286</v>
      </c>
      <c r="E5" s="40" t="s">
        <v>212</v>
      </c>
      <c r="F5" s="22">
        <v>299.5</v>
      </c>
      <c r="G5" s="22">
        <v>6000</v>
      </c>
      <c r="H5" s="23">
        <v>299.5</v>
      </c>
      <c r="I5" s="22">
        <f t="shared" si="0"/>
        <v>5700.5</v>
      </c>
      <c r="J5" s="22" t="s">
        <v>16</v>
      </c>
      <c r="K5" s="24"/>
      <c r="L5" s="25"/>
    </row>
    <row r="6" spans="1:12" ht="15.75" x14ac:dyDescent="0.25">
      <c r="A6" s="20" t="s">
        <v>228</v>
      </c>
      <c r="B6" s="21" t="s">
        <v>1384</v>
      </c>
      <c r="C6" s="28" t="s">
        <v>15</v>
      </c>
      <c r="D6" s="66" t="s">
        <v>18</v>
      </c>
      <c r="E6" s="40" t="s">
        <v>39</v>
      </c>
      <c r="F6" s="22">
        <v>17620</v>
      </c>
      <c r="G6" s="42">
        <v>100000</v>
      </c>
      <c r="H6" s="23">
        <f>44000+17620</f>
        <v>61620</v>
      </c>
      <c r="I6" s="22">
        <f t="shared" si="0"/>
        <v>38380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1476</v>
      </c>
      <c r="C7" s="28" t="s">
        <v>1477</v>
      </c>
      <c r="D7" s="66" t="s">
        <v>1478</v>
      </c>
      <c r="E7" s="40" t="s">
        <v>683</v>
      </c>
      <c r="F7" s="22">
        <v>104.9</v>
      </c>
      <c r="G7" s="22">
        <v>100</v>
      </c>
      <c r="H7" s="23">
        <v>104.9</v>
      </c>
      <c r="I7" s="22">
        <f>G7-H7</f>
        <v>-4.9000000000000057</v>
      </c>
      <c r="J7" s="22" t="s">
        <v>24</v>
      </c>
      <c r="K7" s="24"/>
      <c r="L7" s="25"/>
    </row>
    <row r="8" spans="1:12" ht="15.75" x14ac:dyDescent="0.25">
      <c r="A8" s="20" t="s">
        <v>14</v>
      </c>
      <c r="B8" s="21" t="s">
        <v>1439</v>
      </c>
      <c r="C8" s="28" t="s">
        <v>1440</v>
      </c>
      <c r="D8" s="66" t="s">
        <v>18</v>
      </c>
      <c r="E8" s="40" t="s">
        <v>1441</v>
      </c>
      <c r="F8" s="22">
        <v>3000</v>
      </c>
      <c r="G8" s="22">
        <v>5000</v>
      </c>
      <c r="H8" s="23">
        <v>4000</v>
      </c>
      <c r="I8" s="22">
        <f>G8-H8</f>
        <v>1000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1472</v>
      </c>
      <c r="C9" s="28" t="s">
        <v>679</v>
      </c>
      <c r="D9" s="66" t="s">
        <v>283</v>
      </c>
      <c r="E9" s="40" t="s">
        <v>1158</v>
      </c>
      <c r="F9" s="22">
        <v>432.4</v>
      </c>
      <c r="G9" s="22">
        <v>500</v>
      </c>
      <c r="H9" s="23">
        <v>432.4</v>
      </c>
      <c r="I9" s="22">
        <f>G9-H9</f>
        <v>67.600000000000023</v>
      </c>
      <c r="J9" s="22" t="s">
        <v>16</v>
      </c>
      <c r="K9" s="24"/>
      <c r="L9" s="25"/>
    </row>
    <row r="10" spans="1:12" ht="15.75" x14ac:dyDescent="0.25">
      <c r="A10" s="20" t="s">
        <v>228</v>
      </c>
      <c r="B10" s="21" t="s">
        <v>1089</v>
      </c>
      <c r="C10" s="28" t="s">
        <v>1475</v>
      </c>
      <c r="D10" s="29" t="s">
        <v>18</v>
      </c>
      <c r="E10" s="40" t="s">
        <v>427</v>
      </c>
      <c r="F10" s="22">
        <v>36000</v>
      </c>
      <c r="G10" s="22">
        <v>300000</v>
      </c>
      <c r="H10" s="23">
        <v>121000</v>
      </c>
      <c r="I10" s="22">
        <f t="shared" ref="I10:I19" si="1">G10-H10</f>
        <v>179000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1429</v>
      </c>
      <c r="C11" s="28" t="s">
        <v>15</v>
      </c>
      <c r="D11" s="66" t="s">
        <v>73</v>
      </c>
      <c r="E11" s="40" t="s">
        <v>74</v>
      </c>
      <c r="F11" s="22">
        <v>5000</v>
      </c>
      <c r="G11" s="22">
        <v>50000</v>
      </c>
      <c r="H11" s="23">
        <v>7750</v>
      </c>
      <c r="I11" s="22">
        <f t="shared" si="1"/>
        <v>42250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1445</v>
      </c>
      <c r="C12" s="28" t="s">
        <v>1069</v>
      </c>
      <c r="D12" s="66" t="s">
        <v>290</v>
      </c>
      <c r="E12" s="40" t="s">
        <v>365</v>
      </c>
      <c r="F12" s="22">
        <v>5000</v>
      </c>
      <c r="G12" s="22">
        <v>30000</v>
      </c>
      <c r="H12" s="23">
        <f>1000+4435+5000</f>
        <v>10435</v>
      </c>
      <c r="I12" s="22">
        <f>G12-H12</f>
        <v>19565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1427</v>
      </c>
      <c r="C13" s="28" t="s">
        <v>462</v>
      </c>
      <c r="D13" s="66" t="s">
        <v>18</v>
      </c>
      <c r="E13" s="40" t="s">
        <v>640</v>
      </c>
      <c r="F13" s="22">
        <v>79000</v>
      </c>
      <c r="G13" s="22">
        <v>100000</v>
      </c>
      <c r="H13" s="23">
        <v>110310</v>
      </c>
      <c r="I13" s="22">
        <f>G13-H13</f>
        <v>-10310</v>
      </c>
      <c r="J13" s="22" t="s">
        <v>24</v>
      </c>
      <c r="K13" s="24"/>
      <c r="L13" s="25"/>
    </row>
    <row r="14" spans="1:12" ht="15.75" x14ac:dyDescent="0.25">
      <c r="A14" s="20" t="s">
        <v>17</v>
      </c>
      <c r="B14" s="21" t="s">
        <v>1461</v>
      </c>
      <c r="C14" s="28" t="s">
        <v>1048</v>
      </c>
      <c r="D14" s="66" t="s">
        <v>73</v>
      </c>
      <c r="E14" s="40" t="s">
        <v>402</v>
      </c>
      <c r="F14" s="22">
        <v>2450</v>
      </c>
      <c r="G14" s="22">
        <v>5000</v>
      </c>
      <c r="H14" s="23">
        <f>2500+2450</f>
        <v>4950</v>
      </c>
      <c r="I14" s="22">
        <f>G14-H14</f>
        <v>50</v>
      </c>
      <c r="J14" s="22" t="s">
        <v>31</v>
      </c>
      <c r="K14" s="24"/>
      <c r="L14" s="25"/>
    </row>
    <row r="15" spans="1:12" ht="15.75" x14ac:dyDescent="0.25">
      <c r="A15" s="20" t="s">
        <v>569</v>
      </c>
      <c r="B15" s="21" t="s">
        <v>1259</v>
      </c>
      <c r="C15" s="28" t="s">
        <v>151</v>
      </c>
      <c r="D15" s="66" t="s">
        <v>283</v>
      </c>
      <c r="E15" s="40" t="s">
        <v>1260</v>
      </c>
      <c r="F15" s="22">
        <v>99</v>
      </c>
      <c r="G15" s="22">
        <v>30000</v>
      </c>
      <c r="H15" s="23">
        <v>5810.8</v>
      </c>
      <c r="I15" s="22">
        <f>G15-H15</f>
        <v>24189.200000000001</v>
      </c>
      <c r="J15" s="22" t="s">
        <v>16</v>
      </c>
      <c r="K15" s="24"/>
      <c r="L15" s="25"/>
    </row>
    <row r="16" spans="1:12" ht="15.75" x14ac:dyDescent="0.25">
      <c r="A16" s="20" t="s">
        <v>40</v>
      </c>
      <c r="B16" s="21" t="s">
        <v>1456</v>
      </c>
      <c r="C16" s="28" t="s">
        <v>62</v>
      </c>
      <c r="D16" s="66" t="s">
        <v>54</v>
      </c>
      <c r="E16" s="40" t="s">
        <v>1267</v>
      </c>
      <c r="F16" s="22">
        <v>31000</v>
      </c>
      <c r="G16" s="42">
        <v>300000</v>
      </c>
      <c r="H16" s="23">
        <f>14000+31000</f>
        <v>45000</v>
      </c>
      <c r="I16" s="22">
        <f t="shared" si="1"/>
        <v>255000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1457</v>
      </c>
      <c r="C17" s="28" t="s">
        <v>870</v>
      </c>
      <c r="D17" s="66" t="s">
        <v>18</v>
      </c>
      <c r="E17" s="40" t="s">
        <v>342</v>
      </c>
      <c r="F17" s="22">
        <v>525</v>
      </c>
      <c r="G17" s="42">
        <v>1500</v>
      </c>
      <c r="H17" s="23">
        <f>323+525</f>
        <v>848</v>
      </c>
      <c r="I17" s="22">
        <f t="shared" si="1"/>
        <v>652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1473</v>
      </c>
      <c r="C18" s="28" t="s">
        <v>1474</v>
      </c>
      <c r="D18" s="29" t="s">
        <v>959</v>
      </c>
      <c r="E18" s="40" t="s">
        <v>46</v>
      </c>
      <c r="F18" s="22">
        <v>201.4</v>
      </c>
      <c r="G18" s="42">
        <v>500</v>
      </c>
      <c r="H18" s="23">
        <v>201.4</v>
      </c>
      <c r="I18" s="22">
        <f>G18-H18</f>
        <v>298.60000000000002</v>
      </c>
      <c r="J18" s="22" t="s">
        <v>16</v>
      </c>
      <c r="K18" s="24"/>
      <c r="L18" s="25"/>
    </row>
    <row r="19" spans="1:12" ht="15.75" x14ac:dyDescent="0.25">
      <c r="A19" s="20" t="s">
        <v>25</v>
      </c>
      <c r="B19" s="21" t="s">
        <v>1391</v>
      </c>
      <c r="C19" s="28" t="s">
        <v>1392</v>
      </c>
      <c r="D19" s="29" t="s">
        <v>551</v>
      </c>
      <c r="E19" s="40" t="s">
        <v>1393</v>
      </c>
      <c r="F19" s="22">
        <v>890</v>
      </c>
      <c r="G19" s="22">
        <v>91000</v>
      </c>
      <c r="H19" s="23">
        <f>585+450+1060+410+450+445+890</f>
        <v>4290</v>
      </c>
      <c r="I19" s="22">
        <f t="shared" si="1"/>
        <v>86710</v>
      </c>
      <c r="J19" s="22" t="s">
        <v>16</v>
      </c>
      <c r="K19" s="24"/>
      <c r="L19" s="25"/>
    </row>
    <row r="20" spans="1:12" ht="16.5" thickBot="1" x14ac:dyDescent="0.3">
      <c r="A20" s="43"/>
      <c r="B20" s="44"/>
      <c r="C20" s="45"/>
      <c r="D20" s="67"/>
      <c r="E20" s="47"/>
      <c r="F20" s="48"/>
      <c r="G20" s="62"/>
      <c r="H20" s="49"/>
      <c r="I20" s="48"/>
      <c r="J20" s="48"/>
      <c r="K20" s="50"/>
      <c r="L20" s="51"/>
    </row>
    <row r="21" spans="1:12" ht="16.5" thickBot="1" x14ac:dyDescent="0.3">
      <c r="A21" s="71"/>
      <c r="B21" s="72"/>
      <c r="C21" s="73"/>
      <c r="D21" s="74"/>
      <c r="E21" s="75"/>
      <c r="F21" s="76"/>
      <c r="G21" s="76"/>
      <c r="H21" s="77"/>
      <c r="I21" s="76"/>
      <c r="J21" s="76"/>
      <c r="K21" s="78"/>
      <c r="L21" s="79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2:L22"/>
  <sheetViews>
    <sheetView workbookViewId="0">
      <pane xSplit="3" topLeftCell="D1" activePane="topRight" state="frozen"/>
      <selection pane="topRight" activeCell="A6" sqref="A6:XFD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1381</v>
      </c>
      <c r="C4" s="26" t="s">
        <v>15</v>
      </c>
      <c r="D4" s="65" t="s">
        <v>1444</v>
      </c>
      <c r="E4" s="39" t="s">
        <v>1455</v>
      </c>
      <c r="F4" s="16">
        <v>60000</v>
      </c>
      <c r="G4" s="16">
        <v>1000000</v>
      </c>
      <c r="H4" s="17">
        <f>360000+110000+26000+10000+60000+80000+60000</f>
        <v>706000</v>
      </c>
      <c r="I4" s="16">
        <f t="shared" ref="I4:I6" si="0">G4-H4</f>
        <v>294000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1432</v>
      </c>
      <c r="C5" s="28" t="s">
        <v>1479</v>
      </c>
      <c r="D5" s="66" t="s">
        <v>1286</v>
      </c>
      <c r="E5" s="40" t="s">
        <v>479</v>
      </c>
      <c r="F5" s="22">
        <v>103.6</v>
      </c>
      <c r="G5" s="22">
        <v>100</v>
      </c>
      <c r="H5" s="23">
        <v>103.6</v>
      </c>
      <c r="I5" s="22">
        <f t="shared" si="0"/>
        <v>-3.5999999999999943</v>
      </c>
      <c r="J5" s="22" t="s">
        <v>23</v>
      </c>
      <c r="K5" s="24"/>
      <c r="L5" s="25"/>
    </row>
    <row r="6" spans="1:12" ht="15.75" x14ac:dyDescent="0.25">
      <c r="A6" s="20" t="s">
        <v>22</v>
      </c>
      <c r="B6" s="21" t="s">
        <v>1258</v>
      </c>
      <c r="C6" s="28" t="s">
        <v>204</v>
      </c>
      <c r="D6" s="66" t="s">
        <v>43</v>
      </c>
      <c r="E6" s="40" t="s">
        <v>206</v>
      </c>
      <c r="F6" s="22">
        <v>92.5</v>
      </c>
      <c r="G6" s="22">
        <v>3000</v>
      </c>
      <c r="H6" s="23">
        <f>377.3+92.5</f>
        <v>469.8</v>
      </c>
      <c r="I6" s="22">
        <f t="shared" si="0"/>
        <v>2530.1999999999998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1480</v>
      </c>
      <c r="C7" s="28" t="s">
        <v>648</v>
      </c>
      <c r="D7" s="66" t="s">
        <v>215</v>
      </c>
      <c r="E7" s="40" t="s">
        <v>1481</v>
      </c>
      <c r="F7" s="22">
        <v>5395</v>
      </c>
      <c r="G7" s="22">
        <v>5000</v>
      </c>
      <c r="H7" s="23">
        <v>5395</v>
      </c>
      <c r="I7" s="22">
        <f>G7-H7</f>
        <v>-395</v>
      </c>
      <c r="J7" s="22" t="s">
        <v>24</v>
      </c>
      <c r="K7" s="24"/>
      <c r="L7" s="25"/>
    </row>
    <row r="8" spans="1:12" ht="15.75" x14ac:dyDescent="0.25">
      <c r="A8" s="20" t="s">
        <v>17</v>
      </c>
      <c r="B8" s="21" t="s">
        <v>1482</v>
      </c>
      <c r="C8" s="28" t="s">
        <v>950</v>
      </c>
      <c r="D8" s="29" t="s">
        <v>364</v>
      </c>
      <c r="E8" s="40" t="s">
        <v>951</v>
      </c>
      <c r="F8" s="22">
        <v>2675</v>
      </c>
      <c r="G8" s="22">
        <v>55000</v>
      </c>
      <c r="H8" s="23">
        <v>2675</v>
      </c>
      <c r="I8" s="22">
        <f>G8-H8</f>
        <v>52325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1472</v>
      </c>
      <c r="C9" s="28" t="s">
        <v>679</v>
      </c>
      <c r="D9" s="66" t="s">
        <v>283</v>
      </c>
      <c r="E9" s="40" t="s">
        <v>1158</v>
      </c>
      <c r="F9" s="22">
        <v>26</v>
      </c>
      <c r="G9" s="22">
        <v>500</v>
      </c>
      <c r="H9" s="23">
        <f>432.4+26</f>
        <v>458.4</v>
      </c>
      <c r="I9" s="22">
        <f>G9-H9</f>
        <v>41.600000000000023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1445</v>
      </c>
      <c r="C10" s="28" t="s">
        <v>1069</v>
      </c>
      <c r="D10" s="66" t="s">
        <v>290</v>
      </c>
      <c r="E10" s="40" t="s">
        <v>365</v>
      </c>
      <c r="F10" s="22">
        <v>4500</v>
      </c>
      <c r="G10" s="22">
        <v>30000</v>
      </c>
      <c r="H10" s="23">
        <f>1000+4435+5000+4500</f>
        <v>14935</v>
      </c>
      <c r="I10" s="22">
        <f>G10-H10</f>
        <v>15065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1429</v>
      </c>
      <c r="C11" s="28" t="s">
        <v>15</v>
      </c>
      <c r="D11" s="66" t="s">
        <v>73</v>
      </c>
      <c r="E11" s="40" t="s">
        <v>74</v>
      </c>
      <c r="F11" s="22">
        <v>8943</v>
      </c>
      <c r="G11" s="22">
        <v>50000</v>
      </c>
      <c r="H11" s="23">
        <f>7750+8943</f>
        <v>16693</v>
      </c>
      <c r="I11" s="22">
        <f t="shared" ref="I11:I20" si="1">G11-H11</f>
        <v>33307</v>
      </c>
      <c r="J11" s="22" t="s">
        <v>16</v>
      </c>
      <c r="K11" s="24"/>
      <c r="L11" s="25"/>
    </row>
    <row r="12" spans="1:12" ht="15.75" x14ac:dyDescent="0.25">
      <c r="A12" s="20" t="s">
        <v>963</v>
      </c>
      <c r="B12" s="21" t="s">
        <v>1489</v>
      </c>
      <c r="C12" s="28" t="s">
        <v>15</v>
      </c>
      <c r="D12" s="66" t="s">
        <v>1138</v>
      </c>
      <c r="E12" s="40" t="s">
        <v>966</v>
      </c>
      <c r="F12" s="22">
        <v>62</v>
      </c>
      <c r="G12" s="22">
        <v>1000</v>
      </c>
      <c r="H12" s="23">
        <v>62</v>
      </c>
      <c r="I12" s="22">
        <f>G12-H12</f>
        <v>938</v>
      </c>
      <c r="J12" s="22" t="s">
        <v>16</v>
      </c>
      <c r="K12" s="24"/>
      <c r="L12" s="25"/>
    </row>
    <row r="13" spans="1:12" ht="15.75" x14ac:dyDescent="0.25">
      <c r="A13" s="20" t="s">
        <v>228</v>
      </c>
      <c r="B13" s="21" t="s">
        <v>1381</v>
      </c>
      <c r="C13" s="28" t="s">
        <v>15</v>
      </c>
      <c r="D13" s="66" t="s">
        <v>18</v>
      </c>
      <c r="E13" s="40" t="s">
        <v>1488</v>
      </c>
      <c r="F13" s="22">
        <v>49400</v>
      </c>
      <c r="G13" s="22">
        <v>50000</v>
      </c>
      <c r="H13" s="23">
        <v>49400</v>
      </c>
      <c r="I13" s="22">
        <f>G13-H13</f>
        <v>600</v>
      </c>
      <c r="J13" s="22" t="s">
        <v>16</v>
      </c>
      <c r="K13" s="24"/>
      <c r="L13" s="25"/>
    </row>
    <row r="14" spans="1:12" ht="15.75" x14ac:dyDescent="0.25">
      <c r="A14" s="20" t="s">
        <v>569</v>
      </c>
      <c r="B14" s="21" t="s">
        <v>1259</v>
      </c>
      <c r="C14" s="28" t="s">
        <v>151</v>
      </c>
      <c r="D14" s="66" t="s">
        <v>283</v>
      </c>
      <c r="E14" s="40" t="s">
        <v>1260</v>
      </c>
      <c r="F14" s="22">
        <v>2096.35</v>
      </c>
      <c r="G14" s="22">
        <v>30000</v>
      </c>
      <c r="H14" s="23">
        <f>5810.8+2096.35</f>
        <v>7907.15</v>
      </c>
      <c r="I14" s="22">
        <f>G14-H14</f>
        <v>22092.85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1381</v>
      </c>
      <c r="C15" s="28" t="s">
        <v>15</v>
      </c>
      <c r="D15" s="66" t="s">
        <v>18</v>
      </c>
      <c r="E15" s="40" t="s">
        <v>230</v>
      </c>
      <c r="F15" s="22">
        <v>20000</v>
      </c>
      <c r="G15" s="22">
        <v>1000</v>
      </c>
      <c r="H15" s="23">
        <v>20000</v>
      </c>
      <c r="I15" s="22">
        <f>G15-H15</f>
        <v>-19000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1462</v>
      </c>
      <c r="C16" s="28" t="s">
        <v>1486</v>
      </c>
      <c r="D16" s="66" t="s">
        <v>42</v>
      </c>
      <c r="E16" s="40" t="s">
        <v>1487</v>
      </c>
      <c r="F16" s="22">
        <f>8000+9500+330</f>
        <v>17830</v>
      </c>
      <c r="G16" s="22">
        <v>100000</v>
      </c>
      <c r="H16" s="23">
        <v>17830</v>
      </c>
      <c r="I16" s="22">
        <f>G16-H16</f>
        <v>82170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1484</v>
      </c>
      <c r="C17" s="28" t="s">
        <v>34</v>
      </c>
      <c r="D17" s="66" t="s">
        <v>18</v>
      </c>
      <c r="E17" s="40" t="s">
        <v>1485</v>
      </c>
      <c r="F17" s="22">
        <v>9000</v>
      </c>
      <c r="G17" s="42">
        <v>100000</v>
      </c>
      <c r="H17" s="23">
        <v>9000</v>
      </c>
      <c r="I17" s="22">
        <f t="shared" si="1"/>
        <v>91000</v>
      </c>
      <c r="J17" s="22" t="s">
        <v>16</v>
      </c>
      <c r="K17" s="24"/>
      <c r="L17" s="25"/>
    </row>
    <row r="18" spans="1:12" ht="15.75" x14ac:dyDescent="0.25">
      <c r="A18" s="20" t="s">
        <v>14</v>
      </c>
      <c r="B18" s="21" t="s">
        <v>1483</v>
      </c>
      <c r="C18" s="28" t="s">
        <v>497</v>
      </c>
      <c r="D18" s="66" t="s">
        <v>18</v>
      </c>
      <c r="E18" s="40" t="s">
        <v>200</v>
      </c>
      <c r="F18" s="22">
        <v>4840</v>
      </c>
      <c r="G18" s="42">
        <v>5000</v>
      </c>
      <c r="H18" s="23">
        <v>4840</v>
      </c>
      <c r="I18" s="22">
        <f t="shared" si="1"/>
        <v>160</v>
      </c>
      <c r="J18" s="22" t="s">
        <v>16</v>
      </c>
      <c r="K18" s="24"/>
      <c r="L18" s="25"/>
    </row>
    <row r="19" spans="1:12" ht="15.75" x14ac:dyDescent="0.25">
      <c r="A19" s="20" t="s">
        <v>346</v>
      </c>
      <c r="B19" s="21" t="s">
        <v>1473</v>
      </c>
      <c r="C19" s="28" t="s">
        <v>1474</v>
      </c>
      <c r="D19" s="29" t="s">
        <v>959</v>
      </c>
      <c r="E19" s="40" t="s">
        <v>46</v>
      </c>
      <c r="F19" s="22">
        <f>63.1</f>
        <v>63.1</v>
      </c>
      <c r="G19" s="42">
        <v>500</v>
      </c>
      <c r="H19" s="23">
        <f>201.4+63.1</f>
        <v>264.5</v>
      </c>
      <c r="I19" s="22">
        <f>G19-H19</f>
        <v>235.5</v>
      </c>
      <c r="J19" s="22" t="s">
        <v>16</v>
      </c>
      <c r="K19" s="24"/>
      <c r="L19" s="25"/>
    </row>
    <row r="20" spans="1:12" ht="15.75" x14ac:dyDescent="0.25">
      <c r="A20" s="20" t="s">
        <v>25</v>
      </c>
      <c r="B20" s="21" t="s">
        <v>1391</v>
      </c>
      <c r="C20" s="28" t="s">
        <v>1392</v>
      </c>
      <c r="D20" s="29" t="s">
        <v>551</v>
      </c>
      <c r="E20" s="40" t="s">
        <v>1393</v>
      </c>
      <c r="F20" s="22">
        <v>690</v>
      </c>
      <c r="G20" s="22">
        <v>91000</v>
      </c>
      <c r="H20" s="23">
        <f>585+450+1060+410+450+445+890+2096.35</f>
        <v>6386.35</v>
      </c>
      <c r="I20" s="22">
        <f t="shared" si="1"/>
        <v>84613.65</v>
      </c>
      <c r="J20" s="22" t="s">
        <v>16</v>
      </c>
      <c r="K20" s="24"/>
      <c r="L20" s="25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2:L22"/>
  <sheetViews>
    <sheetView workbookViewId="0">
      <pane xSplit="3" topLeftCell="E1" activePane="topRight" state="frozen"/>
      <selection pane="topRight" activeCell="C20" sqref="C20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1381</v>
      </c>
      <c r="C4" s="26" t="s">
        <v>15</v>
      </c>
      <c r="D4" s="65" t="s">
        <v>1444</v>
      </c>
      <c r="E4" s="39" t="s">
        <v>1455</v>
      </c>
      <c r="F4" s="16">
        <v>140000</v>
      </c>
      <c r="G4" s="16">
        <v>1000000</v>
      </c>
      <c r="H4" s="17">
        <f>360000+110000+26000+10000+60000+80000+60000+140000</f>
        <v>846000</v>
      </c>
      <c r="I4" s="16">
        <f t="shared" ref="I4:I6" si="0">G4-H4</f>
        <v>154000</v>
      </c>
      <c r="J4" s="16" t="s">
        <v>16</v>
      </c>
      <c r="K4" s="18"/>
      <c r="L4" s="19"/>
    </row>
    <row r="5" spans="1:12" ht="15.75" x14ac:dyDescent="0.25">
      <c r="A5" s="20" t="s">
        <v>1494</v>
      </c>
      <c r="B5" s="21" t="s">
        <v>1495</v>
      </c>
      <c r="C5" s="28" t="s">
        <v>287</v>
      </c>
      <c r="D5" s="66" t="s">
        <v>18</v>
      </c>
      <c r="E5" s="40" t="s">
        <v>424</v>
      </c>
      <c r="F5" s="22">
        <f>6000+42660</f>
        <v>48660</v>
      </c>
      <c r="G5" s="22">
        <v>50000</v>
      </c>
      <c r="H5" s="23">
        <v>48660</v>
      </c>
      <c r="I5" s="22">
        <f t="shared" si="0"/>
        <v>1340</v>
      </c>
      <c r="J5" s="22" t="s">
        <v>16</v>
      </c>
      <c r="K5" s="24"/>
      <c r="L5" s="25"/>
    </row>
    <row r="6" spans="1:12" ht="15.75" x14ac:dyDescent="0.25">
      <c r="A6" s="20" t="s">
        <v>21</v>
      </c>
      <c r="B6" s="21" t="s">
        <v>1496</v>
      </c>
      <c r="C6" s="28" t="s">
        <v>34</v>
      </c>
      <c r="D6" s="66" t="s">
        <v>18</v>
      </c>
      <c r="E6" s="40" t="s">
        <v>1156</v>
      </c>
      <c r="F6" s="22">
        <v>6800</v>
      </c>
      <c r="G6" s="22">
        <v>150000</v>
      </c>
      <c r="H6" s="23">
        <v>6800</v>
      </c>
      <c r="I6" s="22">
        <f t="shared" si="0"/>
        <v>143200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1044</v>
      </c>
      <c r="C7" s="28" t="s">
        <v>950</v>
      </c>
      <c r="D7" s="29" t="s">
        <v>364</v>
      </c>
      <c r="E7" s="40" t="s">
        <v>951</v>
      </c>
      <c r="F7" s="22">
        <v>3250</v>
      </c>
      <c r="G7" s="22">
        <v>45000</v>
      </c>
      <c r="H7" s="23">
        <f>24025+3075+150+692+5950+900+138+3250</f>
        <v>38180</v>
      </c>
      <c r="I7" s="22">
        <f>G7-H7</f>
        <v>6820</v>
      </c>
      <c r="J7" s="22" t="s">
        <v>16</v>
      </c>
      <c r="K7" s="24"/>
      <c r="L7" s="25"/>
    </row>
    <row r="8" spans="1:12" ht="15.75" x14ac:dyDescent="0.25">
      <c r="A8" s="20" t="s">
        <v>17</v>
      </c>
      <c r="B8" s="21" t="s">
        <v>1482</v>
      </c>
      <c r="C8" s="28" t="s">
        <v>950</v>
      </c>
      <c r="D8" s="29" t="s">
        <v>364</v>
      </c>
      <c r="E8" s="40" t="s">
        <v>951</v>
      </c>
      <c r="F8" s="22">
        <v>2340</v>
      </c>
      <c r="G8" s="22">
        <v>55000</v>
      </c>
      <c r="H8" s="23">
        <f>2675+2340</f>
        <v>5015</v>
      </c>
      <c r="I8" s="22">
        <f>G8-H8</f>
        <v>49985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1497</v>
      </c>
      <c r="C9" s="28" t="s">
        <v>870</v>
      </c>
      <c r="D9" s="66" t="s">
        <v>18</v>
      </c>
      <c r="E9" s="40" t="s">
        <v>646</v>
      </c>
      <c r="F9" s="22">
        <v>2725</v>
      </c>
      <c r="G9" s="22">
        <v>5000</v>
      </c>
      <c r="H9" s="23">
        <v>2725</v>
      </c>
      <c r="I9" s="22">
        <f>G9-H9</f>
        <v>2275</v>
      </c>
      <c r="J9" s="22" t="s">
        <v>16</v>
      </c>
      <c r="K9" s="24"/>
      <c r="L9" s="25"/>
    </row>
    <row r="10" spans="1:12" ht="15.75" x14ac:dyDescent="0.25">
      <c r="A10" s="20" t="s">
        <v>30</v>
      </c>
      <c r="B10" s="21" t="s">
        <v>1490</v>
      </c>
      <c r="C10" s="28" t="s">
        <v>1491</v>
      </c>
      <c r="D10" s="66" t="s">
        <v>1271</v>
      </c>
      <c r="E10" s="40" t="s">
        <v>1492</v>
      </c>
      <c r="F10" s="22">
        <v>40500</v>
      </c>
      <c r="G10" s="22">
        <v>88000</v>
      </c>
      <c r="H10" s="23">
        <v>40500</v>
      </c>
      <c r="I10" s="22">
        <f>G10-H10</f>
        <v>47500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1429</v>
      </c>
      <c r="C11" s="28" t="s">
        <v>15</v>
      </c>
      <c r="D11" s="66" t="s">
        <v>73</v>
      </c>
      <c r="E11" s="40" t="s">
        <v>74</v>
      </c>
      <c r="F11" s="22">
        <v>11000</v>
      </c>
      <c r="G11" s="22">
        <v>50000</v>
      </c>
      <c r="H11" s="23">
        <f>7750+8943+11000</f>
        <v>27693</v>
      </c>
      <c r="I11" s="22">
        <f t="shared" ref="I11:I20" si="1">G11-H11</f>
        <v>22307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1424</v>
      </c>
      <c r="C12" s="28" t="s">
        <v>210</v>
      </c>
      <c r="D12" s="66" t="s">
        <v>18</v>
      </c>
      <c r="E12" s="40" t="s">
        <v>427</v>
      </c>
      <c r="F12" s="22">
        <f>30000+32700</f>
        <v>62700</v>
      </c>
      <c r="G12" s="22">
        <v>100000</v>
      </c>
      <c r="H12" s="23">
        <v>62700</v>
      </c>
      <c r="I12" s="22">
        <f>G12-H12</f>
        <v>37300</v>
      </c>
      <c r="J12" s="22" t="s">
        <v>16</v>
      </c>
      <c r="K12" s="24"/>
      <c r="L12" s="25"/>
    </row>
    <row r="13" spans="1:12" ht="15.75" x14ac:dyDescent="0.25">
      <c r="A13" s="20" t="s">
        <v>40</v>
      </c>
      <c r="B13" s="21" t="s">
        <v>1456</v>
      </c>
      <c r="C13" s="28" t="s">
        <v>62</v>
      </c>
      <c r="D13" s="66" t="s">
        <v>54</v>
      </c>
      <c r="E13" s="40" t="s">
        <v>1267</v>
      </c>
      <c r="F13" s="22">
        <v>68000</v>
      </c>
      <c r="G13" s="42">
        <v>300000</v>
      </c>
      <c r="H13" s="23">
        <f>14000+31000+68000</f>
        <v>113000</v>
      </c>
      <c r="I13" s="22">
        <f t="shared" ref="I13" si="2">G13-H13</f>
        <v>187000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1378</v>
      </c>
      <c r="C14" s="28" t="s">
        <v>373</v>
      </c>
      <c r="D14" s="66" t="s">
        <v>892</v>
      </c>
      <c r="E14" s="40" t="s">
        <v>184</v>
      </c>
      <c r="F14" s="22">
        <f>20+320</f>
        <v>340</v>
      </c>
      <c r="G14" s="22">
        <v>600</v>
      </c>
      <c r="H14" s="23">
        <v>340</v>
      </c>
      <c r="I14" s="22">
        <f>G14-H14</f>
        <v>260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1381</v>
      </c>
      <c r="C15" s="28" t="s">
        <v>15</v>
      </c>
      <c r="D15" s="66" t="s">
        <v>18</v>
      </c>
      <c r="E15" s="40" t="s">
        <v>230</v>
      </c>
      <c r="F15" s="22">
        <v>33300</v>
      </c>
      <c r="G15" s="22">
        <v>200000</v>
      </c>
      <c r="H15" s="23">
        <f>20000+33300</f>
        <v>53300</v>
      </c>
      <c r="I15" s="22">
        <f>G15-H15</f>
        <v>146700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1462</v>
      </c>
      <c r="C16" s="28" t="s">
        <v>1486</v>
      </c>
      <c r="D16" s="66" t="s">
        <v>42</v>
      </c>
      <c r="E16" s="40" t="s">
        <v>1487</v>
      </c>
      <c r="F16" s="22">
        <v>70000</v>
      </c>
      <c r="G16" s="22">
        <v>100000</v>
      </c>
      <c r="H16" s="23">
        <f>17830+70000</f>
        <v>87830</v>
      </c>
      <c r="I16" s="22">
        <f>G16-H16</f>
        <v>12170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1484</v>
      </c>
      <c r="C17" s="28" t="s">
        <v>34</v>
      </c>
      <c r="D17" s="66" t="s">
        <v>18</v>
      </c>
      <c r="E17" s="40" t="s">
        <v>1485</v>
      </c>
      <c r="F17" s="22">
        <v>12500</v>
      </c>
      <c r="G17" s="42">
        <v>100000</v>
      </c>
      <c r="H17" s="23">
        <f>9000+12500</f>
        <v>21500</v>
      </c>
      <c r="I17" s="22">
        <f t="shared" si="1"/>
        <v>78500</v>
      </c>
      <c r="J17" s="22" t="s">
        <v>16</v>
      </c>
      <c r="K17" s="24"/>
      <c r="L17" s="25"/>
    </row>
    <row r="18" spans="1:12" ht="15.75" x14ac:dyDescent="0.25">
      <c r="A18" s="20" t="s">
        <v>30</v>
      </c>
      <c r="B18" s="21" t="s">
        <v>1498</v>
      </c>
      <c r="C18" s="28" t="s">
        <v>1499</v>
      </c>
      <c r="D18" s="66" t="s">
        <v>1271</v>
      </c>
      <c r="E18" s="40" t="s">
        <v>1500</v>
      </c>
      <c r="F18" s="22">
        <v>6000</v>
      </c>
      <c r="G18" s="42">
        <v>85000</v>
      </c>
      <c r="H18" s="23">
        <v>6000</v>
      </c>
      <c r="I18" s="22">
        <f t="shared" si="1"/>
        <v>79000</v>
      </c>
      <c r="J18" s="22" t="s">
        <v>16</v>
      </c>
      <c r="K18" s="24"/>
      <c r="L18" s="25"/>
    </row>
    <row r="19" spans="1:12" ht="15.75" x14ac:dyDescent="0.25">
      <c r="A19" s="20" t="s">
        <v>346</v>
      </c>
      <c r="B19" s="21" t="s">
        <v>1493</v>
      </c>
      <c r="C19" s="28" t="s">
        <v>187</v>
      </c>
      <c r="D19" s="29" t="s">
        <v>1093</v>
      </c>
      <c r="E19" s="40" t="s">
        <v>46</v>
      </c>
      <c r="F19" s="22">
        <v>85.9</v>
      </c>
      <c r="G19" s="42">
        <v>100</v>
      </c>
      <c r="H19" s="23">
        <v>85.9</v>
      </c>
      <c r="I19" s="22">
        <f>G19-H19</f>
        <v>14.099999999999994</v>
      </c>
      <c r="J19" s="22" t="s">
        <v>16</v>
      </c>
      <c r="K19" s="24"/>
      <c r="L19" s="25"/>
    </row>
    <row r="20" spans="1:12" ht="15.75" x14ac:dyDescent="0.25">
      <c r="A20" s="20" t="s">
        <v>25</v>
      </c>
      <c r="B20" s="21" t="s">
        <v>1391</v>
      </c>
      <c r="C20" s="28" t="s">
        <v>1392</v>
      </c>
      <c r="D20" s="29" t="s">
        <v>551</v>
      </c>
      <c r="E20" s="40" t="s">
        <v>1393</v>
      </c>
      <c r="F20" s="22">
        <v>1555</v>
      </c>
      <c r="G20" s="22">
        <v>91000</v>
      </c>
      <c r="H20" s="23">
        <f>585+450+1060+410+450+445+890+2096.35+4692.1</f>
        <v>11078.45</v>
      </c>
      <c r="I20" s="22">
        <f t="shared" si="1"/>
        <v>79921.55</v>
      </c>
      <c r="J20" s="22" t="s">
        <v>16</v>
      </c>
      <c r="K20" s="24"/>
      <c r="L20" s="25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2:AS99"/>
  <sheetViews>
    <sheetView topLeftCell="AE1" workbookViewId="0">
      <selection activeCell="AP3" sqref="AP2:AP3"/>
    </sheetView>
  </sheetViews>
  <sheetFormatPr defaultRowHeight="15" x14ac:dyDescent="0.25"/>
  <cols>
    <col min="1" max="16384" width="9.140625" style="90"/>
  </cols>
  <sheetData>
    <row r="2" spans="1:45" x14ac:dyDescent="0.25">
      <c r="A2" s="90" t="s">
        <v>1540</v>
      </c>
      <c r="B2" s="90" t="s">
        <v>1541</v>
      </c>
    </row>
    <row r="3" spans="1:45" s="91" customFormat="1" x14ac:dyDescent="0.25">
      <c r="A3" s="91">
        <v>1</v>
      </c>
      <c r="C3" s="91">
        <v>2</v>
      </c>
      <c r="E3" s="91">
        <v>3</v>
      </c>
      <c r="G3" s="91">
        <v>4</v>
      </c>
      <c r="I3" s="91">
        <v>5</v>
      </c>
      <c r="K3" s="91">
        <v>6</v>
      </c>
      <c r="M3" s="91">
        <v>7</v>
      </c>
      <c r="O3" s="91">
        <v>8</v>
      </c>
      <c r="Q3" s="91">
        <v>9</v>
      </c>
      <c r="S3" s="91">
        <v>10</v>
      </c>
      <c r="U3" s="91">
        <v>11</v>
      </c>
      <c r="W3" s="91">
        <v>12</v>
      </c>
      <c r="Y3" s="91">
        <v>13</v>
      </c>
      <c r="AA3" s="91">
        <v>14</v>
      </c>
      <c r="AC3" s="91">
        <v>15</v>
      </c>
      <c r="AE3" s="91">
        <v>16</v>
      </c>
      <c r="AG3" s="91">
        <v>17</v>
      </c>
      <c r="AI3" s="91">
        <v>18</v>
      </c>
      <c r="AK3" s="91">
        <v>19</v>
      </c>
      <c r="AM3" s="91">
        <v>20</v>
      </c>
      <c r="AO3" s="91">
        <v>21</v>
      </c>
      <c r="AQ3" s="91">
        <v>22</v>
      </c>
      <c r="AS3" s="91">
        <v>23</v>
      </c>
    </row>
    <row r="5" spans="1:45" x14ac:dyDescent="0.25">
      <c r="A5" s="90">
        <v>15.8</v>
      </c>
      <c r="C5" s="90">
        <v>16</v>
      </c>
      <c r="E5" s="90">
        <v>15.6</v>
      </c>
      <c r="G5" s="90">
        <v>14.1</v>
      </c>
      <c r="I5" s="90">
        <v>13.5</v>
      </c>
      <c r="K5" s="90">
        <v>16</v>
      </c>
      <c r="M5" s="90">
        <v>16.7</v>
      </c>
      <c r="O5" s="90">
        <v>16.399999999999999</v>
      </c>
      <c r="Q5" s="90">
        <v>16.149999999999999</v>
      </c>
      <c r="S5" s="90">
        <v>14.5</v>
      </c>
      <c r="U5" s="90">
        <v>15.2</v>
      </c>
      <c r="W5" s="90">
        <v>14.8</v>
      </c>
      <c r="Y5" s="90">
        <v>14.4</v>
      </c>
      <c r="AA5" s="90">
        <v>15.5</v>
      </c>
      <c r="AC5" s="90">
        <v>15.9</v>
      </c>
      <c r="AE5" s="90">
        <v>16.100000000000001</v>
      </c>
      <c r="AG5" s="90">
        <v>14.2</v>
      </c>
      <c r="AI5" s="90">
        <v>14.9</v>
      </c>
      <c r="AK5" s="90">
        <v>15.4</v>
      </c>
      <c r="AM5" s="90">
        <v>13.85</v>
      </c>
      <c r="AO5" s="90">
        <v>14.1</v>
      </c>
      <c r="AQ5" s="90">
        <v>15.2</v>
      </c>
      <c r="AS5" s="90">
        <v>15.7</v>
      </c>
    </row>
    <row r="6" spans="1:45" x14ac:dyDescent="0.25">
      <c r="A6" s="90">
        <v>15.9</v>
      </c>
      <c r="C6" s="90">
        <v>17</v>
      </c>
      <c r="E6" s="90">
        <v>14.5</v>
      </c>
      <c r="G6" s="90">
        <v>14.16</v>
      </c>
      <c r="I6" s="90">
        <v>16.3</v>
      </c>
      <c r="K6" s="90">
        <v>15.8</v>
      </c>
      <c r="M6" s="90">
        <v>17.100000000000001</v>
      </c>
      <c r="O6" s="90">
        <v>15</v>
      </c>
      <c r="Q6" s="90">
        <v>15.6</v>
      </c>
      <c r="S6" s="90">
        <v>15.4</v>
      </c>
      <c r="U6" s="90">
        <v>15</v>
      </c>
      <c r="W6" s="90">
        <v>14</v>
      </c>
      <c r="Y6" s="90">
        <v>14.3</v>
      </c>
      <c r="AA6" s="90">
        <v>15.3</v>
      </c>
      <c r="AC6" s="90">
        <v>14.5</v>
      </c>
      <c r="AE6" s="90">
        <v>15.4</v>
      </c>
      <c r="AG6" s="90">
        <v>15</v>
      </c>
      <c r="AI6" s="90">
        <v>15.3</v>
      </c>
      <c r="AK6" s="90">
        <v>16</v>
      </c>
      <c r="AM6" s="90">
        <v>13.8</v>
      </c>
      <c r="AO6" s="90">
        <v>15.4</v>
      </c>
      <c r="AQ6" s="90">
        <v>15.1</v>
      </c>
      <c r="AS6" s="90">
        <v>15.7</v>
      </c>
    </row>
    <row r="7" spans="1:45" x14ac:dyDescent="0.25">
      <c r="A7" s="90">
        <v>15.18</v>
      </c>
      <c r="C7" s="90">
        <v>16.7</v>
      </c>
      <c r="E7" s="90">
        <v>14</v>
      </c>
      <c r="G7" s="90">
        <v>14.1</v>
      </c>
      <c r="I7" s="90">
        <v>15.9</v>
      </c>
      <c r="K7" s="90">
        <v>15.8</v>
      </c>
      <c r="M7" s="90">
        <v>16.600000000000001</v>
      </c>
      <c r="O7" s="90">
        <v>16.2</v>
      </c>
      <c r="Q7" s="90">
        <v>15.1</v>
      </c>
      <c r="S7" s="90">
        <v>15.7</v>
      </c>
      <c r="U7" s="90">
        <v>14.8</v>
      </c>
      <c r="W7" s="90">
        <v>14.9</v>
      </c>
      <c r="Y7" s="90">
        <v>13.8</v>
      </c>
      <c r="AA7" s="90">
        <v>15.6</v>
      </c>
      <c r="AC7" s="90">
        <v>15.9</v>
      </c>
      <c r="AE7" s="90">
        <v>16.5</v>
      </c>
      <c r="AG7" s="90">
        <v>14.2</v>
      </c>
      <c r="AI7" s="90">
        <v>15.3</v>
      </c>
      <c r="AK7" s="90">
        <v>15.8</v>
      </c>
      <c r="AM7" s="90">
        <v>15.1</v>
      </c>
      <c r="AO7" s="90">
        <v>15.4</v>
      </c>
      <c r="AQ7" s="90">
        <v>15.4</v>
      </c>
      <c r="AS7" s="90">
        <v>15.8</v>
      </c>
    </row>
    <row r="8" spans="1:45" x14ac:dyDescent="0.25">
      <c r="A8" s="90">
        <v>15.1</v>
      </c>
      <c r="C8" s="90">
        <v>15.7</v>
      </c>
      <c r="E8" s="90">
        <v>17.100000000000001</v>
      </c>
      <c r="G8" s="90">
        <v>14.8</v>
      </c>
      <c r="I8" s="90">
        <v>15.9</v>
      </c>
      <c r="K8" s="90">
        <v>15.5</v>
      </c>
      <c r="M8" s="90">
        <v>14.4</v>
      </c>
      <c r="O8" s="90">
        <v>16.399999999999999</v>
      </c>
      <c r="Q8" s="90">
        <v>16.399999999999999</v>
      </c>
      <c r="S8" s="90">
        <v>14.8</v>
      </c>
      <c r="U8" s="90">
        <v>15.4</v>
      </c>
      <c r="W8" s="90">
        <v>14</v>
      </c>
      <c r="Y8" s="90">
        <v>14.6</v>
      </c>
      <c r="AA8" s="90">
        <v>15.3</v>
      </c>
      <c r="AC8" s="90">
        <v>15.9</v>
      </c>
      <c r="AE8" s="90">
        <v>15.6</v>
      </c>
      <c r="AG8" s="90">
        <v>15.9</v>
      </c>
      <c r="AI8" s="90">
        <v>15.2</v>
      </c>
      <c r="AK8" s="90">
        <v>15.1</v>
      </c>
      <c r="AM8" s="90">
        <v>14.7</v>
      </c>
      <c r="AO8" s="90">
        <v>15.5</v>
      </c>
      <c r="AQ8" s="90">
        <v>15.1</v>
      </c>
      <c r="AS8" s="90">
        <v>15.8</v>
      </c>
    </row>
    <row r="9" spans="1:45" x14ac:dyDescent="0.25">
      <c r="A9" s="90">
        <v>15.5</v>
      </c>
      <c r="C9" s="90">
        <v>17</v>
      </c>
      <c r="E9" s="90">
        <v>14.3</v>
      </c>
      <c r="G9" s="90">
        <v>14.4</v>
      </c>
      <c r="I9" s="90">
        <v>15.5</v>
      </c>
      <c r="K9" s="90">
        <v>15.7</v>
      </c>
      <c r="M9" s="90">
        <v>17.100000000000001</v>
      </c>
      <c r="O9" s="90">
        <v>15</v>
      </c>
      <c r="Q9" s="90">
        <v>14.6</v>
      </c>
      <c r="S9" s="90">
        <v>15.2</v>
      </c>
      <c r="U9" s="90">
        <v>14.7</v>
      </c>
      <c r="W9" s="90">
        <v>14.8</v>
      </c>
      <c r="Y9" s="90">
        <v>14</v>
      </c>
      <c r="AA9" s="90">
        <v>15.3</v>
      </c>
      <c r="AC9" s="90">
        <v>15.9</v>
      </c>
      <c r="AE9" s="90">
        <v>15.2</v>
      </c>
      <c r="AG9" s="90">
        <v>14.3</v>
      </c>
      <c r="AI9" s="90">
        <v>15.1</v>
      </c>
      <c r="AK9" s="90">
        <v>16</v>
      </c>
      <c r="AM9" s="90">
        <v>14.2</v>
      </c>
      <c r="AO9" s="90">
        <v>15.4</v>
      </c>
      <c r="AQ9" s="90">
        <v>15.1</v>
      </c>
      <c r="AS9" s="90">
        <v>15.7</v>
      </c>
    </row>
    <row r="10" spans="1:45" x14ac:dyDescent="0.25">
      <c r="A10" s="90">
        <v>15.8</v>
      </c>
      <c r="C10" s="90">
        <v>18</v>
      </c>
      <c r="E10" s="90">
        <v>13.8</v>
      </c>
      <c r="G10" s="90">
        <v>16.5</v>
      </c>
      <c r="I10" s="90">
        <v>15.8</v>
      </c>
      <c r="K10" s="90">
        <v>16</v>
      </c>
      <c r="M10" s="90">
        <v>17</v>
      </c>
      <c r="O10" s="90">
        <v>17.3</v>
      </c>
      <c r="Q10" s="90">
        <v>15.5</v>
      </c>
      <c r="S10" s="90">
        <v>14.8</v>
      </c>
      <c r="U10" s="90">
        <v>14.7</v>
      </c>
      <c r="W10" s="90">
        <v>14.7</v>
      </c>
      <c r="Y10" s="90">
        <v>14.1</v>
      </c>
      <c r="AA10" s="90">
        <v>15.4</v>
      </c>
      <c r="AC10" s="90">
        <v>16</v>
      </c>
      <c r="AE10" s="90">
        <v>15.8</v>
      </c>
      <c r="AG10" s="90">
        <v>14.5</v>
      </c>
      <c r="AI10" s="90">
        <v>15.4</v>
      </c>
      <c r="AK10" s="90">
        <v>16</v>
      </c>
      <c r="AM10" s="90">
        <v>14.5</v>
      </c>
      <c r="AO10" s="90">
        <v>15.3</v>
      </c>
      <c r="AQ10" s="90">
        <v>15.9</v>
      </c>
      <c r="AS10" s="90">
        <v>15.4</v>
      </c>
    </row>
    <row r="11" spans="1:45" x14ac:dyDescent="0.25">
      <c r="A11" s="90">
        <v>15.9</v>
      </c>
      <c r="C11" s="90">
        <v>16</v>
      </c>
      <c r="E11" s="90">
        <v>13.8</v>
      </c>
      <c r="G11" s="90">
        <v>15.1</v>
      </c>
      <c r="I11" s="90">
        <v>15.6</v>
      </c>
      <c r="K11" s="90">
        <v>15.3</v>
      </c>
      <c r="M11" s="90">
        <v>14.5</v>
      </c>
      <c r="O11" s="90">
        <v>15.4</v>
      </c>
      <c r="Q11" s="90">
        <v>14.6</v>
      </c>
      <c r="S11" s="90">
        <v>17.2</v>
      </c>
      <c r="U11" s="90">
        <v>14.8</v>
      </c>
      <c r="W11" s="90">
        <v>15.3</v>
      </c>
      <c r="Y11" s="90">
        <v>14.6</v>
      </c>
      <c r="AA11" s="90">
        <v>15</v>
      </c>
      <c r="AC11" s="90">
        <v>15.9</v>
      </c>
      <c r="AE11" s="90">
        <v>15.3</v>
      </c>
      <c r="AG11" s="90">
        <v>14.5</v>
      </c>
      <c r="AI11" s="90">
        <v>15.4</v>
      </c>
      <c r="AK11" s="90">
        <v>15.5</v>
      </c>
      <c r="AM11" s="90">
        <v>15.2</v>
      </c>
      <c r="AO11" s="90">
        <v>14.8</v>
      </c>
      <c r="AQ11" s="90">
        <v>15.4</v>
      </c>
      <c r="AS11" s="90">
        <v>15</v>
      </c>
    </row>
    <row r="12" spans="1:45" x14ac:dyDescent="0.25">
      <c r="A12" s="90">
        <v>14.1</v>
      </c>
      <c r="C12" s="90">
        <v>16.899999999999999</v>
      </c>
      <c r="E12" s="90">
        <v>15.7</v>
      </c>
      <c r="G12" s="90">
        <v>14.5</v>
      </c>
      <c r="I12" s="90">
        <v>15.7</v>
      </c>
      <c r="K12" s="90">
        <v>15.9</v>
      </c>
      <c r="M12" s="90">
        <v>15.5</v>
      </c>
      <c r="O12" s="90">
        <v>14.8</v>
      </c>
      <c r="Q12" s="90">
        <v>16.2</v>
      </c>
      <c r="S12" s="90">
        <v>14.7</v>
      </c>
      <c r="U12" s="90">
        <v>15.4</v>
      </c>
      <c r="W12" s="90">
        <v>14.3</v>
      </c>
      <c r="Y12" s="90">
        <v>14.2</v>
      </c>
      <c r="AA12" s="90">
        <v>15.3</v>
      </c>
      <c r="AC12" s="90">
        <v>15.9</v>
      </c>
      <c r="AE12" s="90">
        <v>15.2</v>
      </c>
      <c r="AG12" s="90">
        <v>14.7</v>
      </c>
      <c r="AI12" s="90">
        <v>15.4</v>
      </c>
      <c r="AK12" s="90">
        <v>15</v>
      </c>
      <c r="AM12" s="90">
        <v>15.2</v>
      </c>
      <c r="AO12" s="90">
        <v>14.8</v>
      </c>
      <c r="AQ12" s="90">
        <v>16.7</v>
      </c>
      <c r="AS12" s="90">
        <v>16.600000000000001</v>
      </c>
    </row>
    <row r="13" spans="1:45" x14ac:dyDescent="0.25">
      <c r="A13" s="90">
        <v>15.1</v>
      </c>
      <c r="C13" s="90">
        <v>16.600000000000001</v>
      </c>
      <c r="E13" s="90">
        <v>13.6</v>
      </c>
      <c r="G13" s="90">
        <v>14</v>
      </c>
      <c r="I13" s="90">
        <v>15.9</v>
      </c>
      <c r="K13" s="90">
        <v>15.6</v>
      </c>
      <c r="M13" s="90">
        <v>17.2</v>
      </c>
      <c r="O13" s="90">
        <v>15.5</v>
      </c>
      <c r="Q13" s="90">
        <v>16.100000000000001</v>
      </c>
      <c r="S13" s="90">
        <v>15.4</v>
      </c>
      <c r="U13" s="90">
        <v>14.8</v>
      </c>
      <c r="W13" s="90">
        <v>15</v>
      </c>
      <c r="Y13" s="90">
        <v>13.9</v>
      </c>
      <c r="AA13" s="90">
        <v>15.9</v>
      </c>
      <c r="AC13" s="90">
        <v>15.8</v>
      </c>
      <c r="AE13" s="90">
        <v>15.5</v>
      </c>
      <c r="AG13" s="90">
        <v>15.9</v>
      </c>
      <c r="AI13" s="90">
        <v>14.4</v>
      </c>
      <c r="AK13" s="90">
        <v>15.6</v>
      </c>
      <c r="AM13" s="90">
        <v>15.2</v>
      </c>
      <c r="AO13" s="90">
        <v>15.1</v>
      </c>
      <c r="AQ13" s="90">
        <v>13.9</v>
      </c>
      <c r="AS13" s="90">
        <v>18</v>
      </c>
    </row>
    <row r="14" spans="1:45" x14ac:dyDescent="0.25">
      <c r="A14" s="90">
        <v>15.8</v>
      </c>
      <c r="C14" s="90">
        <v>17</v>
      </c>
      <c r="E14" s="90">
        <v>16</v>
      </c>
      <c r="G14" s="90">
        <v>13.8</v>
      </c>
      <c r="I14" s="90">
        <v>15.7</v>
      </c>
      <c r="K14" s="90">
        <v>14.8</v>
      </c>
      <c r="M14" s="90">
        <v>17.100000000000001</v>
      </c>
      <c r="O14" s="90">
        <v>15.3</v>
      </c>
      <c r="Q14" s="90">
        <v>15.4</v>
      </c>
      <c r="S14" s="90">
        <v>16.100000000000001</v>
      </c>
      <c r="U14" s="90">
        <v>15.1</v>
      </c>
      <c r="W14" s="90">
        <v>14.2</v>
      </c>
      <c r="Y14" s="90">
        <v>13.9</v>
      </c>
      <c r="AA14" s="90">
        <v>15.6</v>
      </c>
      <c r="AC14" s="90">
        <v>17.8</v>
      </c>
      <c r="AE14" s="90">
        <v>15.4</v>
      </c>
      <c r="AG14" s="90">
        <v>15.8</v>
      </c>
      <c r="AI14" s="90">
        <v>15.2</v>
      </c>
      <c r="AK14" s="90">
        <v>15.6</v>
      </c>
      <c r="AM14" s="90">
        <v>15.2</v>
      </c>
      <c r="AO14" s="90">
        <v>15.1</v>
      </c>
      <c r="AQ14" s="90">
        <v>13.7</v>
      </c>
      <c r="AS14" s="90">
        <v>15.4</v>
      </c>
    </row>
    <row r="15" spans="1:45" x14ac:dyDescent="0.25">
      <c r="A15" s="90">
        <v>15.9</v>
      </c>
      <c r="C15" s="90">
        <v>16.100000000000001</v>
      </c>
      <c r="E15" s="90">
        <v>15</v>
      </c>
      <c r="G15" s="90">
        <v>14.4</v>
      </c>
      <c r="I15" s="90">
        <v>15.4</v>
      </c>
      <c r="K15" s="90">
        <v>15.8</v>
      </c>
      <c r="M15" s="90">
        <v>16.8</v>
      </c>
      <c r="O15" s="90">
        <v>14.7</v>
      </c>
      <c r="Q15" s="90">
        <v>14.8</v>
      </c>
      <c r="S15" s="90">
        <v>14.9</v>
      </c>
      <c r="U15" s="90">
        <v>14.8</v>
      </c>
      <c r="W15" s="90">
        <v>14.6</v>
      </c>
      <c r="Y15" s="90">
        <v>13.8</v>
      </c>
      <c r="AA15" s="90">
        <v>15.6</v>
      </c>
      <c r="AC15" s="90">
        <v>15</v>
      </c>
      <c r="AE15" s="90">
        <v>15.5</v>
      </c>
      <c r="AG15" s="90">
        <v>15.8</v>
      </c>
      <c r="AI15" s="90">
        <v>16.5</v>
      </c>
      <c r="AK15" s="90">
        <v>15.7</v>
      </c>
      <c r="AM15" s="90">
        <v>15.4</v>
      </c>
      <c r="AO15" s="90">
        <v>15.3</v>
      </c>
      <c r="AQ15" s="90">
        <v>14</v>
      </c>
      <c r="AS15" s="90">
        <v>15.1</v>
      </c>
    </row>
    <row r="16" spans="1:45" x14ac:dyDescent="0.25">
      <c r="A16" s="90">
        <v>15.7</v>
      </c>
      <c r="C16" s="90">
        <v>16.2</v>
      </c>
      <c r="E16" s="90">
        <v>15.5</v>
      </c>
      <c r="G16" s="90">
        <v>14</v>
      </c>
      <c r="I16" s="90">
        <v>15.8</v>
      </c>
      <c r="K16" s="90">
        <v>15.6</v>
      </c>
      <c r="M16" s="90">
        <v>16.899999999999999</v>
      </c>
      <c r="O16" s="90">
        <v>15.1</v>
      </c>
      <c r="Q16" s="90">
        <v>14.8</v>
      </c>
      <c r="S16" s="90">
        <v>14.6</v>
      </c>
      <c r="U16" s="90">
        <v>14.8</v>
      </c>
      <c r="W16" s="90">
        <v>14.5</v>
      </c>
      <c r="Y16" s="90">
        <v>15.9</v>
      </c>
      <c r="AA16" s="90">
        <v>15.7</v>
      </c>
      <c r="AC16" s="90">
        <v>15.1</v>
      </c>
      <c r="AE16" s="90">
        <v>15.2</v>
      </c>
      <c r="AG16" s="90">
        <v>15.9</v>
      </c>
      <c r="AI16" s="90">
        <v>14.4</v>
      </c>
      <c r="AK16" s="90">
        <v>15.7</v>
      </c>
      <c r="AM16" s="90">
        <v>14.5</v>
      </c>
      <c r="AO16" s="90">
        <v>15.2</v>
      </c>
      <c r="AQ16" s="90">
        <v>14</v>
      </c>
      <c r="AS16" s="90">
        <v>15.1</v>
      </c>
    </row>
    <row r="17" spans="1:45" x14ac:dyDescent="0.25">
      <c r="A17" s="90">
        <v>15.7</v>
      </c>
      <c r="C17" s="90">
        <v>16.100000000000001</v>
      </c>
      <c r="E17" s="90">
        <v>16</v>
      </c>
      <c r="G17" s="90">
        <v>13.8</v>
      </c>
      <c r="I17" s="90">
        <v>15.6</v>
      </c>
      <c r="K17" s="90">
        <v>15.2</v>
      </c>
      <c r="M17" s="90">
        <v>17.3</v>
      </c>
      <c r="O17" s="90">
        <v>14.7</v>
      </c>
      <c r="Q17" s="90">
        <v>14.2</v>
      </c>
      <c r="S17" s="90">
        <v>14.8</v>
      </c>
      <c r="U17" s="90">
        <v>14.7</v>
      </c>
      <c r="W17" s="90">
        <v>14.6</v>
      </c>
      <c r="Y17" s="90">
        <v>13.6</v>
      </c>
      <c r="AA17" s="90">
        <v>15.7</v>
      </c>
      <c r="AC17" s="90">
        <v>16</v>
      </c>
      <c r="AE17" s="90">
        <v>15.7</v>
      </c>
      <c r="AG17" s="90">
        <v>15.6</v>
      </c>
      <c r="AI17" s="90">
        <v>15.3</v>
      </c>
      <c r="AK17" s="90">
        <v>15.2</v>
      </c>
      <c r="AM17" s="90">
        <v>14.5</v>
      </c>
      <c r="AO17" s="90">
        <v>15.2</v>
      </c>
      <c r="AQ17" s="90">
        <v>14.8</v>
      </c>
      <c r="AS17" s="90">
        <v>14.9</v>
      </c>
    </row>
    <row r="18" spans="1:45" x14ac:dyDescent="0.25">
      <c r="A18" s="90">
        <v>16.2</v>
      </c>
      <c r="C18" s="90">
        <v>16</v>
      </c>
      <c r="E18" s="90">
        <v>16.100000000000001</v>
      </c>
      <c r="G18" s="90">
        <v>14.4</v>
      </c>
      <c r="I18" s="90">
        <v>15.9</v>
      </c>
      <c r="K18" s="90">
        <v>15.8</v>
      </c>
      <c r="M18" s="90">
        <v>15.8</v>
      </c>
      <c r="O18" s="90">
        <v>15.2</v>
      </c>
      <c r="Q18" s="90">
        <v>15.7</v>
      </c>
      <c r="S18" s="90">
        <v>15.8</v>
      </c>
      <c r="U18" s="90">
        <v>14.8</v>
      </c>
      <c r="W18" s="90">
        <v>14.8</v>
      </c>
      <c r="Y18" s="90">
        <v>15.3</v>
      </c>
      <c r="AA18" s="90">
        <v>15.5</v>
      </c>
      <c r="AC18" s="90">
        <v>15.9</v>
      </c>
      <c r="AE18" s="90">
        <v>15.7</v>
      </c>
      <c r="AG18" s="90">
        <v>15.5</v>
      </c>
      <c r="AI18" s="90">
        <v>14.9</v>
      </c>
      <c r="AK18" s="90">
        <v>16</v>
      </c>
      <c r="AM18" s="90">
        <v>14.65</v>
      </c>
      <c r="AO18" s="90">
        <v>15.3</v>
      </c>
      <c r="AQ18" s="90">
        <v>14.2</v>
      </c>
      <c r="AS18" s="90">
        <v>15.2</v>
      </c>
    </row>
    <row r="19" spans="1:45" x14ac:dyDescent="0.25">
      <c r="A19" s="90">
        <v>15.9</v>
      </c>
      <c r="C19" s="90">
        <v>16.2</v>
      </c>
      <c r="E19" s="90">
        <v>15.6</v>
      </c>
      <c r="G19" s="90">
        <v>14.4</v>
      </c>
      <c r="I19" s="90">
        <v>15.3</v>
      </c>
      <c r="K19" s="90">
        <v>16</v>
      </c>
      <c r="M19" s="90">
        <v>17.100000000000001</v>
      </c>
      <c r="O19" s="90">
        <v>14.7</v>
      </c>
      <c r="Q19" s="90">
        <v>15.9</v>
      </c>
      <c r="S19" s="90">
        <v>15.6</v>
      </c>
      <c r="U19" s="90">
        <v>14.8</v>
      </c>
      <c r="W19" s="90">
        <v>14</v>
      </c>
      <c r="Y19" s="90">
        <v>14.5</v>
      </c>
      <c r="AA19" s="90">
        <v>15.6</v>
      </c>
      <c r="AC19" s="90">
        <v>16.2</v>
      </c>
      <c r="AE19" s="90">
        <v>15.4</v>
      </c>
      <c r="AG19" s="90">
        <v>15.6</v>
      </c>
      <c r="AI19" s="90">
        <v>14.4</v>
      </c>
      <c r="AK19" s="90">
        <v>15.5</v>
      </c>
      <c r="AM19" s="90">
        <v>14.3</v>
      </c>
      <c r="AO19" s="90">
        <v>15.3</v>
      </c>
      <c r="AQ19" s="90">
        <v>14.7</v>
      </c>
      <c r="AS19" s="90">
        <v>16.399999999999999</v>
      </c>
    </row>
    <row r="20" spans="1:45" x14ac:dyDescent="0.25">
      <c r="A20" s="90">
        <v>16.100000000000001</v>
      </c>
      <c r="C20" s="90">
        <v>15.9</v>
      </c>
      <c r="E20" s="90">
        <v>15.8</v>
      </c>
      <c r="G20" s="90">
        <v>13.4</v>
      </c>
      <c r="I20" s="90">
        <v>15.8</v>
      </c>
      <c r="K20" s="90">
        <v>16</v>
      </c>
      <c r="M20" s="90">
        <v>15.3</v>
      </c>
      <c r="O20" s="90">
        <v>14.9</v>
      </c>
      <c r="Q20" s="90">
        <v>15.2</v>
      </c>
      <c r="S20" s="90">
        <v>14.6</v>
      </c>
      <c r="U20" s="90">
        <v>15.8</v>
      </c>
      <c r="W20" s="90">
        <v>14.6</v>
      </c>
      <c r="Y20" s="90">
        <v>15.4</v>
      </c>
      <c r="AA20" s="90">
        <v>15.2</v>
      </c>
      <c r="AC20" s="90">
        <v>17.5</v>
      </c>
      <c r="AE20" s="90">
        <v>15.4</v>
      </c>
      <c r="AG20" s="90">
        <v>15.5</v>
      </c>
      <c r="AI20" s="90">
        <v>15.1</v>
      </c>
      <c r="AK20" s="90">
        <v>15.4</v>
      </c>
      <c r="AM20" s="90">
        <v>13.95</v>
      </c>
      <c r="AO20" s="90">
        <v>15.4</v>
      </c>
      <c r="AQ20" s="90">
        <v>16.600000000000001</v>
      </c>
      <c r="AS20" s="90">
        <v>16.2</v>
      </c>
    </row>
    <row r="21" spans="1:45" x14ac:dyDescent="0.25">
      <c r="A21" s="90">
        <v>16.399999999999999</v>
      </c>
      <c r="C21" s="90">
        <v>16</v>
      </c>
      <c r="E21" s="90">
        <v>16.100000000000001</v>
      </c>
      <c r="G21" s="90">
        <v>14.1</v>
      </c>
      <c r="I21" s="90">
        <v>15.2</v>
      </c>
      <c r="K21" s="90">
        <v>15.5</v>
      </c>
      <c r="M21" s="90">
        <v>15</v>
      </c>
      <c r="O21" s="90">
        <v>14.9</v>
      </c>
      <c r="Q21" s="90">
        <v>14.9</v>
      </c>
      <c r="S21" s="90">
        <v>14.8</v>
      </c>
      <c r="U21" s="90">
        <v>14.8</v>
      </c>
      <c r="W21" s="90">
        <v>14.8</v>
      </c>
      <c r="Y21" s="90">
        <v>15.2</v>
      </c>
      <c r="AA21" s="90">
        <v>15.2</v>
      </c>
      <c r="AC21" s="90">
        <v>15.9</v>
      </c>
      <c r="AE21" s="90">
        <v>15.6</v>
      </c>
      <c r="AG21" s="90">
        <v>15.5</v>
      </c>
      <c r="AI21" s="90">
        <v>15.1</v>
      </c>
      <c r="AK21" s="90">
        <v>15.3</v>
      </c>
      <c r="AM21" s="90">
        <v>14.25</v>
      </c>
      <c r="AO21" s="90">
        <v>15.4</v>
      </c>
      <c r="AQ21" s="90">
        <v>15.1</v>
      </c>
      <c r="AS21" s="90">
        <v>14.9</v>
      </c>
    </row>
    <row r="22" spans="1:45" x14ac:dyDescent="0.25">
      <c r="A22" s="90">
        <v>16.3</v>
      </c>
      <c r="C22" s="90">
        <v>16</v>
      </c>
      <c r="E22" s="90">
        <v>17</v>
      </c>
      <c r="G22" s="90">
        <v>13.2</v>
      </c>
      <c r="I22" s="90">
        <v>15.2</v>
      </c>
      <c r="K22" s="90">
        <v>15.4</v>
      </c>
      <c r="M22" s="90">
        <v>15</v>
      </c>
      <c r="O22" s="90">
        <v>14.8</v>
      </c>
      <c r="Q22" s="90">
        <v>15.9</v>
      </c>
      <c r="S22" s="90">
        <v>15.9</v>
      </c>
      <c r="U22" s="90">
        <v>14.6</v>
      </c>
      <c r="W22" s="90">
        <v>14.9</v>
      </c>
      <c r="Y22" s="90">
        <v>14.8</v>
      </c>
      <c r="AA22" s="90">
        <v>15.6</v>
      </c>
      <c r="AC22" s="90">
        <v>15.3</v>
      </c>
      <c r="AE22" s="90">
        <v>15.7</v>
      </c>
      <c r="AG22" s="90">
        <v>15.7</v>
      </c>
      <c r="AI22" s="90">
        <v>16.7</v>
      </c>
      <c r="AK22" s="90">
        <v>15.5</v>
      </c>
      <c r="AM22" s="90">
        <v>15</v>
      </c>
      <c r="AO22" s="90">
        <v>15.4</v>
      </c>
      <c r="AQ22" s="90">
        <v>15.8</v>
      </c>
      <c r="AS22" s="90">
        <v>15.8</v>
      </c>
    </row>
    <row r="23" spans="1:45" x14ac:dyDescent="0.25">
      <c r="A23" s="90">
        <v>16.5</v>
      </c>
      <c r="C23" s="90">
        <v>15.9</v>
      </c>
      <c r="E23" s="90">
        <v>15.7</v>
      </c>
      <c r="G23" s="90">
        <v>14.8</v>
      </c>
      <c r="I23" s="90">
        <v>15.4</v>
      </c>
      <c r="K23" s="90">
        <v>15.5</v>
      </c>
      <c r="M23" s="90">
        <v>17</v>
      </c>
      <c r="O23" s="90">
        <v>14.4</v>
      </c>
      <c r="Q23" s="90">
        <v>14.7</v>
      </c>
      <c r="S23" s="90">
        <v>15.5</v>
      </c>
      <c r="U23" s="90">
        <v>14.6</v>
      </c>
      <c r="W23" s="90">
        <v>14.9</v>
      </c>
      <c r="Y23" s="90">
        <v>15.5</v>
      </c>
      <c r="AA23" s="90">
        <v>15.8</v>
      </c>
      <c r="AC23" s="90">
        <v>15.9</v>
      </c>
      <c r="AE23" s="90">
        <v>15.5</v>
      </c>
      <c r="AG23" s="90">
        <v>15.9</v>
      </c>
      <c r="AI23" s="90">
        <v>16.399999999999999</v>
      </c>
      <c r="AK23" s="90">
        <v>15.7</v>
      </c>
      <c r="AM23" s="90">
        <v>15.5</v>
      </c>
      <c r="AO23" s="90">
        <v>15.2</v>
      </c>
      <c r="AQ23" s="90">
        <v>15.2</v>
      </c>
      <c r="AS23" s="90">
        <v>14.4</v>
      </c>
    </row>
    <row r="24" spans="1:45" x14ac:dyDescent="0.25">
      <c r="A24" s="90">
        <v>16.8</v>
      </c>
      <c r="C24" s="90">
        <v>16</v>
      </c>
      <c r="E24" s="90">
        <v>15.9</v>
      </c>
      <c r="G24" s="90">
        <v>14</v>
      </c>
      <c r="I24" s="90">
        <v>15.4</v>
      </c>
      <c r="K24" s="90">
        <v>15.8</v>
      </c>
      <c r="M24" s="90">
        <v>15.2</v>
      </c>
      <c r="O24" s="90">
        <v>14.8</v>
      </c>
      <c r="Q24" s="90">
        <v>15.2</v>
      </c>
      <c r="S24" s="90">
        <v>14.8</v>
      </c>
      <c r="U24" s="90">
        <v>15.2</v>
      </c>
      <c r="W24" s="90">
        <v>14.6</v>
      </c>
      <c r="Y24" s="90">
        <v>15.3</v>
      </c>
      <c r="AA24" s="90">
        <v>15.1</v>
      </c>
      <c r="AC24" s="90">
        <v>15.9</v>
      </c>
      <c r="AE24" s="90">
        <v>15.8</v>
      </c>
      <c r="AG24" s="90">
        <v>15.7</v>
      </c>
      <c r="AI24" s="90">
        <v>16.5</v>
      </c>
      <c r="AK24" s="90">
        <v>15.6</v>
      </c>
      <c r="AM24" s="90">
        <v>14.1</v>
      </c>
      <c r="AO24" s="90">
        <v>15.2</v>
      </c>
      <c r="AQ24" s="90">
        <v>15.4</v>
      </c>
      <c r="AS24" s="90">
        <v>16.2</v>
      </c>
    </row>
    <row r="25" spans="1:45" x14ac:dyDescent="0.25">
      <c r="A25" s="90">
        <v>16.3</v>
      </c>
      <c r="C25" s="90">
        <v>15.9</v>
      </c>
      <c r="E25" s="90">
        <v>15.7</v>
      </c>
      <c r="G25" s="90">
        <v>15.3</v>
      </c>
      <c r="I25" s="90">
        <v>15.2</v>
      </c>
      <c r="K25" s="90">
        <v>15</v>
      </c>
      <c r="M25" s="90">
        <v>16.3</v>
      </c>
      <c r="O25" s="90">
        <v>14.8</v>
      </c>
      <c r="Q25" s="90">
        <v>15.1</v>
      </c>
      <c r="S25" s="90">
        <v>15</v>
      </c>
      <c r="U25" s="90">
        <v>14.6</v>
      </c>
      <c r="W25" s="90">
        <v>14.75</v>
      </c>
      <c r="Y25" s="90">
        <v>15.7</v>
      </c>
      <c r="AA25" s="90">
        <v>15.4</v>
      </c>
      <c r="AC25" s="90">
        <v>15.9</v>
      </c>
      <c r="AE25" s="90">
        <v>15.6</v>
      </c>
      <c r="AG25" s="90">
        <v>15.7</v>
      </c>
      <c r="AI25" s="90">
        <v>16.5</v>
      </c>
      <c r="AK25" s="90">
        <v>15.7</v>
      </c>
      <c r="AM25" s="90">
        <v>15.2</v>
      </c>
      <c r="AO25" s="90">
        <v>15.4</v>
      </c>
      <c r="AQ25" s="90">
        <v>15.4</v>
      </c>
      <c r="AS25" s="90">
        <v>15.4</v>
      </c>
    </row>
    <row r="26" spans="1:45" x14ac:dyDescent="0.25">
      <c r="A26" s="90">
        <v>16.3</v>
      </c>
      <c r="C26" s="90">
        <v>15.9</v>
      </c>
      <c r="E26" s="90">
        <v>15.9</v>
      </c>
      <c r="G26" s="90">
        <v>14.1</v>
      </c>
      <c r="I26" s="90">
        <v>15.4</v>
      </c>
      <c r="K26" s="90">
        <v>15.5</v>
      </c>
      <c r="M26" s="90">
        <v>17.399999999999999</v>
      </c>
      <c r="O26" s="90">
        <v>14.7</v>
      </c>
      <c r="Q26" s="90">
        <v>14.7</v>
      </c>
      <c r="S26" s="90">
        <v>15.5</v>
      </c>
      <c r="U26" s="90">
        <v>14.7</v>
      </c>
      <c r="W26" s="90">
        <v>14.5</v>
      </c>
      <c r="Y26" s="90">
        <v>15.1</v>
      </c>
      <c r="AA26" s="90">
        <v>15.5</v>
      </c>
      <c r="AC26" s="90">
        <v>15.9</v>
      </c>
      <c r="AE26" s="90">
        <v>15.5</v>
      </c>
      <c r="AG26" s="90">
        <v>16.399999999999999</v>
      </c>
      <c r="AI26" s="90">
        <v>14.7</v>
      </c>
      <c r="AK26" s="90">
        <v>15.5</v>
      </c>
      <c r="AM26" s="90">
        <v>15.1</v>
      </c>
      <c r="AO26" s="90">
        <v>14.9</v>
      </c>
      <c r="AQ26" s="90">
        <v>15.6</v>
      </c>
      <c r="AS26" s="90">
        <v>15</v>
      </c>
    </row>
    <row r="27" spans="1:45" x14ac:dyDescent="0.25">
      <c r="A27" s="90">
        <v>16.3</v>
      </c>
      <c r="C27" s="90">
        <v>15.9</v>
      </c>
      <c r="E27" s="90">
        <v>15.7</v>
      </c>
      <c r="G27" s="90">
        <v>14.3</v>
      </c>
      <c r="I27" s="90">
        <v>15.4</v>
      </c>
      <c r="K27" s="90">
        <v>15</v>
      </c>
      <c r="M27" s="90">
        <v>16.100000000000001</v>
      </c>
      <c r="O27" s="90">
        <v>14.6</v>
      </c>
      <c r="Q27" s="90">
        <v>15.8</v>
      </c>
      <c r="S27" s="90">
        <v>15.3</v>
      </c>
      <c r="U27" s="90">
        <v>14.9</v>
      </c>
      <c r="W27" s="90">
        <v>14.8</v>
      </c>
      <c r="Y27" s="90">
        <v>14.3</v>
      </c>
      <c r="AA27" s="90">
        <v>15.4</v>
      </c>
      <c r="AC27" s="90">
        <v>15.9</v>
      </c>
      <c r="AE27" s="90">
        <v>15.6</v>
      </c>
      <c r="AG27" s="90">
        <v>15.6</v>
      </c>
      <c r="AI27" s="90">
        <v>16.5</v>
      </c>
      <c r="AK27" s="90">
        <v>15.3</v>
      </c>
      <c r="AM27" s="90">
        <v>15.1</v>
      </c>
      <c r="AO27" s="90">
        <v>14.9</v>
      </c>
      <c r="AQ27" s="90">
        <v>14.8</v>
      </c>
      <c r="AS27" s="90">
        <v>16.3</v>
      </c>
    </row>
    <row r="28" spans="1:45" x14ac:dyDescent="0.25">
      <c r="A28" s="90">
        <v>16.399999999999999</v>
      </c>
      <c r="C28" s="90">
        <v>15.7</v>
      </c>
      <c r="E28" s="90">
        <v>15.6</v>
      </c>
      <c r="G28" s="90">
        <v>13.8</v>
      </c>
      <c r="I28" s="90">
        <v>15.3</v>
      </c>
      <c r="K28" s="90">
        <v>14.9</v>
      </c>
      <c r="M28" s="90">
        <v>15.4</v>
      </c>
      <c r="O28" s="90">
        <v>14.4</v>
      </c>
      <c r="Q28" s="90">
        <v>15.1</v>
      </c>
      <c r="S28" s="90">
        <v>14.4</v>
      </c>
      <c r="U28" s="90">
        <v>14.8</v>
      </c>
      <c r="W28" s="90">
        <v>14.9</v>
      </c>
      <c r="Y28" s="90">
        <v>15.7</v>
      </c>
      <c r="AA28" s="90">
        <v>15.2</v>
      </c>
      <c r="AC28" s="90">
        <v>15.6</v>
      </c>
      <c r="AE28" s="90">
        <v>15.1</v>
      </c>
      <c r="AG28" s="90">
        <v>15.1</v>
      </c>
      <c r="AI28" s="90">
        <v>16.7</v>
      </c>
      <c r="AK28" s="90">
        <v>14.8</v>
      </c>
      <c r="AM28" s="90">
        <v>15.75</v>
      </c>
      <c r="AO28" s="90">
        <v>15.2</v>
      </c>
      <c r="AQ28" s="90">
        <v>14.3</v>
      </c>
      <c r="AS28" s="90">
        <v>15.6</v>
      </c>
    </row>
    <row r="29" spans="1:45" x14ac:dyDescent="0.25">
      <c r="A29" s="90">
        <v>16.600000000000001</v>
      </c>
      <c r="C29" s="90">
        <v>16</v>
      </c>
      <c r="E29" s="90">
        <v>16.399999999999999</v>
      </c>
      <c r="G29" s="90">
        <v>15.1</v>
      </c>
      <c r="I29" s="90">
        <v>15.5</v>
      </c>
      <c r="K29" s="90">
        <v>15.6</v>
      </c>
      <c r="M29" s="90">
        <v>15</v>
      </c>
      <c r="O29" s="90">
        <v>14.6</v>
      </c>
      <c r="Q29" s="90">
        <v>17.600000000000001</v>
      </c>
      <c r="S29" s="90">
        <v>12.6</v>
      </c>
      <c r="U29" s="90">
        <v>14.6</v>
      </c>
      <c r="W29" s="90">
        <v>14.7</v>
      </c>
      <c r="Y29" s="90">
        <v>14</v>
      </c>
      <c r="AA29" s="90">
        <v>15.5</v>
      </c>
      <c r="AC29" s="90">
        <v>15.7</v>
      </c>
      <c r="AE29" s="90">
        <v>15.3</v>
      </c>
      <c r="AG29" s="90">
        <v>15.4</v>
      </c>
      <c r="AI29" s="90">
        <v>16.3</v>
      </c>
      <c r="AK29" s="90">
        <v>15.7</v>
      </c>
      <c r="AM29" s="90">
        <v>15.25</v>
      </c>
      <c r="AO29" s="90">
        <v>15.1</v>
      </c>
      <c r="AQ29" s="90">
        <v>14.2</v>
      </c>
      <c r="AS29" s="90">
        <v>15.2</v>
      </c>
    </row>
    <row r="30" spans="1:45" x14ac:dyDescent="0.25">
      <c r="A30" s="90">
        <v>16.5</v>
      </c>
      <c r="C30" s="90">
        <v>15.9</v>
      </c>
      <c r="E30" s="90">
        <v>16.3</v>
      </c>
      <c r="G30" s="90">
        <v>13.7</v>
      </c>
      <c r="I30" s="90">
        <v>15.2</v>
      </c>
      <c r="K30" s="90">
        <v>15.3</v>
      </c>
      <c r="M30" s="90">
        <v>15.3</v>
      </c>
      <c r="O30" s="90">
        <v>14.6</v>
      </c>
      <c r="Q30" s="90">
        <v>15.6</v>
      </c>
      <c r="S30" s="90">
        <v>14.4</v>
      </c>
      <c r="U30" s="90">
        <v>15</v>
      </c>
      <c r="W30" s="90">
        <v>14.8</v>
      </c>
      <c r="Y30" s="90">
        <v>15</v>
      </c>
      <c r="AA30" s="90">
        <v>14.6</v>
      </c>
      <c r="AC30" s="90">
        <v>16.399999999999999</v>
      </c>
      <c r="AE30" s="90">
        <v>15.7</v>
      </c>
      <c r="AG30" s="90">
        <v>15.6</v>
      </c>
      <c r="AI30" s="90">
        <v>16.100000000000001</v>
      </c>
      <c r="AK30" s="90">
        <v>15.6</v>
      </c>
      <c r="AM30" s="90">
        <v>15.55</v>
      </c>
      <c r="AO30" s="90">
        <v>15.5</v>
      </c>
      <c r="AQ30" s="90">
        <v>14.7</v>
      </c>
      <c r="AS30" s="90">
        <v>16</v>
      </c>
    </row>
    <row r="31" spans="1:45" x14ac:dyDescent="0.25">
      <c r="A31" s="90">
        <v>16.399999999999999</v>
      </c>
      <c r="C31" s="90">
        <v>15.8</v>
      </c>
      <c r="E31" s="90">
        <v>15.9</v>
      </c>
      <c r="G31" s="90">
        <v>13.7</v>
      </c>
      <c r="I31" s="90">
        <v>15.4</v>
      </c>
      <c r="K31" s="90">
        <v>15.2</v>
      </c>
      <c r="M31" s="90">
        <v>15</v>
      </c>
      <c r="O31" s="90">
        <v>14.4</v>
      </c>
      <c r="Q31" s="90">
        <v>15.1</v>
      </c>
      <c r="S31" s="90">
        <v>14.5</v>
      </c>
      <c r="U31" s="90">
        <v>15.6</v>
      </c>
      <c r="W31" s="90">
        <v>14.9</v>
      </c>
      <c r="Y31" s="90">
        <v>14.5</v>
      </c>
      <c r="AA31" s="90">
        <v>15.5</v>
      </c>
      <c r="AC31" s="90">
        <v>15.4</v>
      </c>
      <c r="AE31" s="90">
        <v>13.2</v>
      </c>
      <c r="AG31" s="90">
        <v>15.4</v>
      </c>
      <c r="AI31" s="90">
        <v>16.3</v>
      </c>
      <c r="AK31" s="90">
        <v>15.6</v>
      </c>
      <c r="AM31" s="90">
        <v>14.3</v>
      </c>
      <c r="AO31" s="90">
        <v>15.2</v>
      </c>
      <c r="AQ31" s="90">
        <v>14.1</v>
      </c>
      <c r="AS31" s="90">
        <v>16.600000000000001</v>
      </c>
    </row>
    <row r="32" spans="1:45" x14ac:dyDescent="0.25">
      <c r="A32" s="90">
        <v>15.7</v>
      </c>
      <c r="C32" s="90">
        <v>16</v>
      </c>
      <c r="E32" s="90">
        <v>15.8</v>
      </c>
      <c r="G32" s="90">
        <v>13.4</v>
      </c>
      <c r="I32" s="90">
        <v>15.7</v>
      </c>
      <c r="K32" s="90">
        <v>15.4</v>
      </c>
      <c r="M32" s="90">
        <v>16</v>
      </c>
      <c r="O32" s="90">
        <v>14.6</v>
      </c>
      <c r="Q32" s="90">
        <v>15.3</v>
      </c>
      <c r="S32" s="90">
        <v>14.4</v>
      </c>
      <c r="U32" s="90">
        <v>14.95</v>
      </c>
      <c r="W32" s="90">
        <v>14.8</v>
      </c>
      <c r="Y32" s="90">
        <v>14.4</v>
      </c>
      <c r="AA32" s="90">
        <v>15.5</v>
      </c>
      <c r="AC32" s="90">
        <v>16.5</v>
      </c>
      <c r="AE32" s="90">
        <v>14.9</v>
      </c>
      <c r="AG32" s="90">
        <v>15.4</v>
      </c>
      <c r="AI32" s="90">
        <v>16.899999999999999</v>
      </c>
      <c r="AK32" s="90">
        <v>15.7</v>
      </c>
      <c r="AM32" s="90">
        <v>14.25</v>
      </c>
      <c r="AO32" s="90">
        <v>15.2</v>
      </c>
      <c r="AQ32" s="90">
        <v>14.3</v>
      </c>
      <c r="AS32" s="90">
        <v>15.1</v>
      </c>
    </row>
    <row r="33" spans="1:45" x14ac:dyDescent="0.25">
      <c r="A33" s="90">
        <v>18</v>
      </c>
      <c r="C33" s="90">
        <v>15.8</v>
      </c>
      <c r="E33" s="90">
        <v>15.9</v>
      </c>
      <c r="G33" s="90">
        <v>14.8</v>
      </c>
      <c r="I33" s="90">
        <v>15.3</v>
      </c>
      <c r="K33" s="90">
        <v>15.3</v>
      </c>
      <c r="M33" s="90">
        <v>15.4</v>
      </c>
      <c r="O33" s="90">
        <v>14.6</v>
      </c>
      <c r="Q33" s="90">
        <v>16.350000000000001</v>
      </c>
      <c r="S33" s="90">
        <v>15.5</v>
      </c>
      <c r="U33" s="90">
        <v>15</v>
      </c>
      <c r="W33" s="90">
        <v>15</v>
      </c>
      <c r="Y33" s="90">
        <v>14.6</v>
      </c>
      <c r="AA33" s="90">
        <v>16.100000000000001</v>
      </c>
      <c r="AC33" s="90">
        <v>16.5</v>
      </c>
      <c r="AE33" s="90">
        <v>15.7</v>
      </c>
      <c r="AG33" s="90">
        <v>15.6</v>
      </c>
      <c r="AI33" s="90">
        <v>15.2</v>
      </c>
      <c r="AK33" s="90">
        <v>15.6</v>
      </c>
      <c r="AM33" s="90">
        <v>14.5</v>
      </c>
      <c r="AO33" s="90">
        <v>15.3</v>
      </c>
      <c r="AQ33" s="90">
        <v>14.7</v>
      </c>
      <c r="AS33" s="90">
        <v>16</v>
      </c>
    </row>
    <row r="34" spans="1:45" x14ac:dyDescent="0.25">
      <c r="A34" s="90">
        <v>16.399999999999999</v>
      </c>
      <c r="C34" s="90">
        <v>16</v>
      </c>
      <c r="E34" s="90">
        <v>15.1</v>
      </c>
      <c r="G34" s="90">
        <v>14.3</v>
      </c>
      <c r="I34" s="90">
        <v>15.3</v>
      </c>
      <c r="K34" s="90">
        <v>15.2</v>
      </c>
      <c r="M34" s="90">
        <v>15.2</v>
      </c>
      <c r="O34" s="90">
        <v>15.5</v>
      </c>
      <c r="Q34" s="90">
        <v>14.9</v>
      </c>
      <c r="S34" s="90">
        <v>14.3</v>
      </c>
      <c r="U34" s="90">
        <v>14.6</v>
      </c>
      <c r="W34" s="90">
        <v>14.7</v>
      </c>
      <c r="Y34" s="90">
        <v>15.35</v>
      </c>
      <c r="AA34" s="90">
        <v>15.8</v>
      </c>
      <c r="AC34" s="90">
        <v>16.100000000000001</v>
      </c>
      <c r="AE34" s="90">
        <v>15.5</v>
      </c>
      <c r="AG34" s="90">
        <v>15.5</v>
      </c>
      <c r="AI34" s="90">
        <v>15.1</v>
      </c>
      <c r="AK34" s="90">
        <v>15.7</v>
      </c>
      <c r="AM34" s="90">
        <v>14.2</v>
      </c>
      <c r="AO34" s="90">
        <v>15.3</v>
      </c>
      <c r="AQ34" s="90">
        <v>15</v>
      </c>
      <c r="AS34" s="90">
        <v>17.399999999999999</v>
      </c>
    </row>
    <row r="35" spans="1:45" x14ac:dyDescent="0.25">
      <c r="A35" s="90">
        <v>16.399999999999999</v>
      </c>
      <c r="C35" s="90">
        <v>15.7</v>
      </c>
      <c r="E35" s="90">
        <v>15.9</v>
      </c>
      <c r="G35" s="90">
        <v>14.1</v>
      </c>
      <c r="I35" s="90">
        <v>15.4</v>
      </c>
      <c r="K35" s="90">
        <v>15.3</v>
      </c>
      <c r="M35" s="90">
        <v>15.5</v>
      </c>
      <c r="O35" s="90">
        <v>14.7</v>
      </c>
      <c r="Q35" s="90">
        <v>15.65</v>
      </c>
      <c r="S35" s="90">
        <v>14.4</v>
      </c>
      <c r="U35" s="90">
        <v>14.6</v>
      </c>
      <c r="W35" s="90">
        <v>14.75</v>
      </c>
      <c r="Y35" s="90">
        <v>14.75</v>
      </c>
      <c r="AA35" s="90">
        <v>15.5</v>
      </c>
      <c r="AC35" s="90">
        <v>15.4</v>
      </c>
      <c r="AE35" s="90">
        <v>15.6</v>
      </c>
      <c r="AG35" s="90">
        <v>15.5</v>
      </c>
      <c r="AI35" s="90">
        <v>16.3</v>
      </c>
      <c r="AK35" s="90">
        <v>15</v>
      </c>
      <c r="AM35" s="90">
        <v>14.05</v>
      </c>
      <c r="AO35" s="90">
        <v>15.6</v>
      </c>
      <c r="AQ35" s="90">
        <v>15.3</v>
      </c>
      <c r="AS35" s="90">
        <v>17.100000000000001</v>
      </c>
    </row>
    <row r="36" spans="1:45" x14ac:dyDescent="0.25">
      <c r="A36" s="90">
        <v>16.7</v>
      </c>
      <c r="C36" s="90">
        <v>16</v>
      </c>
      <c r="E36" s="90">
        <v>15.8</v>
      </c>
      <c r="G36" s="90">
        <v>16.100000000000001</v>
      </c>
      <c r="I36" s="90">
        <v>15.3</v>
      </c>
      <c r="K36" s="90">
        <v>15.4</v>
      </c>
      <c r="M36" s="90">
        <v>15.1</v>
      </c>
      <c r="O36" s="90">
        <v>14.5</v>
      </c>
      <c r="Q36" s="90">
        <v>15.2</v>
      </c>
      <c r="S36" s="90">
        <v>14.4</v>
      </c>
      <c r="U36" s="90">
        <v>14.8</v>
      </c>
      <c r="W36" s="90">
        <v>14.8</v>
      </c>
      <c r="Y36" s="90">
        <v>14.95</v>
      </c>
      <c r="AA36" s="90">
        <v>14.8</v>
      </c>
      <c r="AC36" s="90">
        <v>15.8</v>
      </c>
      <c r="AE36" s="90">
        <v>15.3</v>
      </c>
      <c r="AG36" s="90">
        <v>15.3</v>
      </c>
      <c r="AI36" s="90">
        <v>16.7</v>
      </c>
      <c r="AK36" s="90">
        <v>16.100000000000001</v>
      </c>
      <c r="AM36" s="90">
        <v>13.95</v>
      </c>
      <c r="AO36" s="90">
        <v>15.4</v>
      </c>
      <c r="AQ36" s="90">
        <v>15.2</v>
      </c>
      <c r="AS36" s="90">
        <v>15.7</v>
      </c>
    </row>
    <row r="37" spans="1:45" x14ac:dyDescent="0.25">
      <c r="A37" s="90">
        <v>16.5</v>
      </c>
      <c r="C37" s="90">
        <v>15.1</v>
      </c>
      <c r="E37" s="90">
        <v>16</v>
      </c>
      <c r="G37" s="90">
        <v>16.3</v>
      </c>
      <c r="I37" s="90">
        <v>15.7</v>
      </c>
      <c r="K37" s="90">
        <v>15.2</v>
      </c>
      <c r="M37" s="90">
        <v>15.15</v>
      </c>
      <c r="O37" s="90">
        <v>14.5</v>
      </c>
      <c r="Q37" s="90">
        <v>16</v>
      </c>
      <c r="S37" s="90">
        <v>13.9</v>
      </c>
      <c r="U37" s="90">
        <v>14.7</v>
      </c>
      <c r="W37" s="90">
        <v>14.7</v>
      </c>
      <c r="Y37" s="90">
        <v>15.2</v>
      </c>
      <c r="AA37" s="90">
        <v>15.6</v>
      </c>
      <c r="AC37" s="90">
        <v>15.7</v>
      </c>
      <c r="AE37" s="90">
        <v>15.7</v>
      </c>
      <c r="AG37" s="90">
        <v>15.5</v>
      </c>
      <c r="AI37" s="90">
        <v>16.8</v>
      </c>
      <c r="AK37" s="90">
        <v>15.5</v>
      </c>
      <c r="AM37" s="90">
        <v>14.7</v>
      </c>
      <c r="AO37" s="90">
        <v>15.2</v>
      </c>
      <c r="AQ37" s="90">
        <v>12.3</v>
      </c>
      <c r="AS37" s="90">
        <v>15.2</v>
      </c>
    </row>
    <row r="38" spans="1:45" x14ac:dyDescent="0.25">
      <c r="A38" s="90">
        <v>16.7</v>
      </c>
      <c r="C38" s="90">
        <v>15.9</v>
      </c>
      <c r="E38" s="90">
        <v>15.9</v>
      </c>
      <c r="G38" s="90">
        <v>13.7</v>
      </c>
      <c r="I38" s="90">
        <v>15.4</v>
      </c>
      <c r="K38" s="90">
        <v>15</v>
      </c>
      <c r="M38" s="90">
        <v>15.5</v>
      </c>
      <c r="O38" s="90">
        <v>15.3</v>
      </c>
      <c r="Q38" s="90">
        <v>15.3</v>
      </c>
      <c r="S38" s="90">
        <v>14.1</v>
      </c>
      <c r="U38" s="90">
        <v>15</v>
      </c>
      <c r="W38" s="90">
        <v>14.8</v>
      </c>
      <c r="Y38" s="90">
        <v>15.1</v>
      </c>
      <c r="AA38" s="90">
        <v>15.4</v>
      </c>
      <c r="AC38" s="90">
        <v>15.5</v>
      </c>
      <c r="AE38" s="90">
        <v>17</v>
      </c>
      <c r="AG38" s="90">
        <v>15.7</v>
      </c>
      <c r="AI38" s="90">
        <v>15.1</v>
      </c>
      <c r="AK38" s="90">
        <v>15.6</v>
      </c>
      <c r="AM38" s="90">
        <v>15.7</v>
      </c>
      <c r="AO38" s="90">
        <v>15.4</v>
      </c>
      <c r="AQ38" s="90">
        <v>15.3</v>
      </c>
      <c r="AS38" s="90">
        <v>14.5</v>
      </c>
    </row>
    <row r="39" spans="1:45" x14ac:dyDescent="0.25">
      <c r="A39" s="90">
        <v>15.9</v>
      </c>
      <c r="C39" s="90">
        <v>15.6</v>
      </c>
      <c r="E39" s="90">
        <v>15.8</v>
      </c>
      <c r="G39" s="90">
        <v>14.2</v>
      </c>
      <c r="I39" s="90">
        <v>15.4</v>
      </c>
      <c r="K39" s="90">
        <v>14.9</v>
      </c>
      <c r="M39" s="90">
        <v>15.3</v>
      </c>
      <c r="O39" s="90">
        <v>14.1</v>
      </c>
      <c r="Q39" s="90">
        <v>16</v>
      </c>
      <c r="S39" s="90">
        <v>13.9</v>
      </c>
      <c r="U39" s="90">
        <v>15.7</v>
      </c>
      <c r="W39" s="90">
        <v>14.7</v>
      </c>
      <c r="Y39" s="90">
        <v>15.25</v>
      </c>
      <c r="AA39" s="90">
        <v>15.5</v>
      </c>
      <c r="AC39" s="90">
        <v>15.8</v>
      </c>
      <c r="AE39" s="90">
        <v>15.7</v>
      </c>
      <c r="AG39" s="90">
        <v>15.6</v>
      </c>
      <c r="AI39" s="90">
        <v>16.2</v>
      </c>
      <c r="AK39" s="90">
        <v>15.7</v>
      </c>
      <c r="AM39" s="90">
        <v>14.15</v>
      </c>
      <c r="AO39" s="90">
        <v>15.3</v>
      </c>
      <c r="AQ39" s="90">
        <v>15.5</v>
      </c>
      <c r="AS39" s="90">
        <v>14.8</v>
      </c>
    </row>
    <row r="40" spans="1:45" x14ac:dyDescent="0.25">
      <c r="A40" s="90">
        <v>15.8</v>
      </c>
      <c r="C40" s="90">
        <v>15.7</v>
      </c>
      <c r="E40" s="90">
        <v>15.8</v>
      </c>
      <c r="G40" s="90">
        <v>14</v>
      </c>
      <c r="I40" s="90">
        <v>15.4</v>
      </c>
      <c r="K40" s="90">
        <v>15.1</v>
      </c>
      <c r="M40" s="90">
        <v>15.1</v>
      </c>
      <c r="O40" s="90">
        <v>15.3</v>
      </c>
      <c r="Q40" s="90">
        <v>16</v>
      </c>
      <c r="S40" s="90">
        <v>14.3</v>
      </c>
      <c r="U40" s="90">
        <v>15</v>
      </c>
      <c r="W40" s="90">
        <v>14.8</v>
      </c>
      <c r="Y40" s="90">
        <v>15.25</v>
      </c>
      <c r="AA40" s="90">
        <v>15.1</v>
      </c>
      <c r="AC40" s="90">
        <v>15.5</v>
      </c>
      <c r="AE40" s="90">
        <v>15.3</v>
      </c>
      <c r="AG40" s="90">
        <v>15.1</v>
      </c>
      <c r="AI40" s="90">
        <v>15</v>
      </c>
      <c r="AK40" s="90">
        <v>15.8</v>
      </c>
      <c r="AM40" s="90">
        <v>15.1</v>
      </c>
      <c r="AO40" s="90">
        <v>16.100000000000001</v>
      </c>
      <c r="AQ40" s="90">
        <v>15.9</v>
      </c>
      <c r="AS40" s="90">
        <v>15.2</v>
      </c>
    </row>
    <row r="41" spans="1:45" x14ac:dyDescent="0.25">
      <c r="A41" s="90">
        <v>16.100000000000001</v>
      </c>
      <c r="C41" s="90">
        <v>15.8</v>
      </c>
      <c r="E41" s="90">
        <v>16.5</v>
      </c>
      <c r="G41" s="90">
        <v>13.8</v>
      </c>
      <c r="I41" s="90">
        <v>15.4</v>
      </c>
      <c r="K41" s="90">
        <v>15.1</v>
      </c>
      <c r="M41" s="90">
        <v>15</v>
      </c>
      <c r="O41" s="90">
        <v>15.3</v>
      </c>
      <c r="Q41" s="90">
        <v>16.2</v>
      </c>
      <c r="S41" s="90">
        <v>14.3</v>
      </c>
      <c r="U41" s="90">
        <v>14.7</v>
      </c>
      <c r="W41" s="90">
        <v>14.7</v>
      </c>
      <c r="Y41" s="90">
        <v>14.95</v>
      </c>
      <c r="AA41" s="90">
        <v>15</v>
      </c>
      <c r="AC41" s="90">
        <v>15.7</v>
      </c>
      <c r="AE41" s="90">
        <v>14.3</v>
      </c>
      <c r="AG41" s="90">
        <v>15.4</v>
      </c>
      <c r="AI41" s="90">
        <v>16.399999999999999</v>
      </c>
      <c r="AK41" s="90">
        <v>14.2</v>
      </c>
      <c r="AM41" s="90">
        <v>15.1</v>
      </c>
      <c r="AO41" s="90">
        <v>15.1</v>
      </c>
      <c r="AQ41" s="90">
        <v>12.4</v>
      </c>
      <c r="AS41" s="90">
        <v>16.8</v>
      </c>
    </row>
    <row r="42" spans="1:45" x14ac:dyDescent="0.25">
      <c r="A42" s="90">
        <v>15.4</v>
      </c>
      <c r="C42" s="90">
        <v>15.8</v>
      </c>
      <c r="E42" s="90">
        <v>16.399999999999999</v>
      </c>
      <c r="G42" s="90">
        <v>13.7</v>
      </c>
      <c r="I42" s="90">
        <v>15.5</v>
      </c>
      <c r="K42" s="90">
        <v>15.2</v>
      </c>
      <c r="M42" s="90">
        <v>15</v>
      </c>
      <c r="O42" s="90">
        <v>15.4</v>
      </c>
      <c r="Q42" s="90">
        <v>16.100000000000001</v>
      </c>
      <c r="S42" s="90">
        <v>14.2</v>
      </c>
      <c r="U42" s="90">
        <v>14.8</v>
      </c>
      <c r="W42" s="90">
        <v>14.65</v>
      </c>
      <c r="Y42" s="90">
        <v>15.15</v>
      </c>
      <c r="AA42" s="90">
        <v>15.3</v>
      </c>
      <c r="AC42" s="90">
        <v>15.6</v>
      </c>
      <c r="AE42" s="90">
        <v>15.6</v>
      </c>
      <c r="AG42" s="90">
        <v>15.7</v>
      </c>
      <c r="AI42" s="90">
        <v>13.2</v>
      </c>
      <c r="AK42" s="90">
        <v>15.9</v>
      </c>
      <c r="AM42" s="90">
        <v>15.5</v>
      </c>
      <c r="AO42" s="90">
        <v>15</v>
      </c>
      <c r="AQ42" s="90">
        <v>14.9</v>
      </c>
      <c r="AS42" s="90">
        <v>15.4</v>
      </c>
    </row>
    <row r="43" spans="1:45" x14ac:dyDescent="0.25">
      <c r="A43" s="90">
        <v>16.7</v>
      </c>
      <c r="C43" s="90">
        <v>15.7</v>
      </c>
      <c r="E43" s="90">
        <v>16.5</v>
      </c>
      <c r="G43" s="90">
        <v>15.5</v>
      </c>
      <c r="I43" s="90">
        <v>15.3</v>
      </c>
      <c r="K43" s="90">
        <v>15.3</v>
      </c>
      <c r="M43" s="90">
        <v>15</v>
      </c>
      <c r="O43" s="90">
        <v>15.9</v>
      </c>
      <c r="Q43" s="90">
        <v>16.05</v>
      </c>
      <c r="S43" s="90">
        <v>14</v>
      </c>
      <c r="U43" s="90">
        <v>14.1</v>
      </c>
      <c r="W43" s="90">
        <v>15</v>
      </c>
      <c r="Y43" s="90">
        <v>15.9</v>
      </c>
      <c r="AA43" s="90">
        <v>14.9</v>
      </c>
      <c r="AC43" s="90">
        <v>15.7</v>
      </c>
      <c r="AE43" s="90">
        <v>15.9</v>
      </c>
      <c r="AG43" s="90">
        <v>15.3</v>
      </c>
      <c r="AI43" s="90">
        <v>16.8</v>
      </c>
      <c r="AK43" s="90">
        <v>15</v>
      </c>
      <c r="AM43" s="90">
        <v>15.25</v>
      </c>
      <c r="AO43" s="90">
        <v>15</v>
      </c>
      <c r="AQ43" s="90">
        <v>14.5</v>
      </c>
      <c r="AS43" s="90">
        <v>15.6</v>
      </c>
    </row>
    <row r="44" spans="1:45" x14ac:dyDescent="0.25">
      <c r="A44" s="90">
        <v>15.7</v>
      </c>
      <c r="C44" s="90">
        <v>15.8</v>
      </c>
      <c r="E44" s="90">
        <v>16.399999999999999</v>
      </c>
      <c r="G44" s="90">
        <v>17.100000000000001</v>
      </c>
      <c r="I44" s="90">
        <v>16.600000000000001</v>
      </c>
      <c r="K44" s="90">
        <v>15</v>
      </c>
      <c r="M44" s="90">
        <v>15</v>
      </c>
      <c r="O44" s="90">
        <v>15.4</v>
      </c>
      <c r="Q44" s="90">
        <v>16.25</v>
      </c>
      <c r="S44" s="90">
        <v>14.2</v>
      </c>
      <c r="U44" s="90">
        <v>14.7</v>
      </c>
      <c r="W44" s="90">
        <v>14.7</v>
      </c>
      <c r="Y44" s="90">
        <v>15.25</v>
      </c>
      <c r="AA44" s="90">
        <v>14.7</v>
      </c>
      <c r="AC44" s="90">
        <v>15.4</v>
      </c>
      <c r="AE44" s="90">
        <v>15.9</v>
      </c>
      <c r="AG44" s="90">
        <v>15.4</v>
      </c>
      <c r="AI44" s="90">
        <v>14.1</v>
      </c>
      <c r="AK44" s="90">
        <v>15.3</v>
      </c>
      <c r="AM44" s="90">
        <v>15.7</v>
      </c>
      <c r="AO44" s="90">
        <v>14.8</v>
      </c>
      <c r="AQ44" s="90">
        <v>14.5</v>
      </c>
      <c r="AS44" s="90">
        <v>14.4</v>
      </c>
    </row>
    <row r="45" spans="1:45" x14ac:dyDescent="0.25">
      <c r="A45" s="90">
        <v>15.2</v>
      </c>
      <c r="C45" s="90">
        <v>15.8</v>
      </c>
      <c r="E45" s="90">
        <v>16.899999999999999</v>
      </c>
      <c r="G45" s="90">
        <v>16.2</v>
      </c>
      <c r="I45" s="90">
        <v>16.100000000000001</v>
      </c>
      <c r="K45" s="90">
        <v>14.9</v>
      </c>
      <c r="M45" s="90">
        <v>15.2</v>
      </c>
      <c r="O45" s="90">
        <v>15.8</v>
      </c>
      <c r="Q45" s="90">
        <v>16</v>
      </c>
      <c r="S45" s="90">
        <v>14</v>
      </c>
      <c r="U45" s="90">
        <v>15.4</v>
      </c>
      <c r="W45" s="90">
        <v>14.8</v>
      </c>
      <c r="Y45" s="90">
        <v>15.4</v>
      </c>
      <c r="AA45" s="90">
        <v>14.8</v>
      </c>
      <c r="AC45" s="90">
        <v>16</v>
      </c>
      <c r="AE45" s="90">
        <v>15.4</v>
      </c>
      <c r="AG45" s="90">
        <v>15.7</v>
      </c>
      <c r="AI45" s="90">
        <v>15</v>
      </c>
      <c r="AK45" s="90">
        <v>15.3</v>
      </c>
      <c r="AM45" s="90">
        <v>15.7</v>
      </c>
      <c r="AO45" s="90">
        <v>15.3</v>
      </c>
      <c r="AQ45" s="90">
        <v>14.2</v>
      </c>
      <c r="AS45" s="90">
        <v>14.4</v>
      </c>
    </row>
    <row r="46" spans="1:45" x14ac:dyDescent="0.25">
      <c r="A46" s="90">
        <v>15.9</v>
      </c>
      <c r="C46" s="90">
        <v>16.600000000000001</v>
      </c>
      <c r="E46" s="90">
        <v>15.5</v>
      </c>
      <c r="G46" s="90">
        <v>14.7</v>
      </c>
      <c r="I46" s="90">
        <v>16.100000000000001</v>
      </c>
      <c r="K46" s="90">
        <v>15.1</v>
      </c>
      <c r="M46" s="90">
        <v>15</v>
      </c>
      <c r="O46" s="90">
        <v>15.4</v>
      </c>
      <c r="Q46" s="90">
        <v>16.8</v>
      </c>
      <c r="S46" s="90">
        <v>14</v>
      </c>
      <c r="U46" s="90">
        <v>15.1</v>
      </c>
      <c r="W46" s="90">
        <v>14.7</v>
      </c>
      <c r="Y46" s="90">
        <v>15.7</v>
      </c>
      <c r="AA46" s="90">
        <v>15.2</v>
      </c>
      <c r="AC46" s="90">
        <v>15.8</v>
      </c>
      <c r="AE46" s="90">
        <v>15.5</v>
      </c>
      <c r="AG46" s="90">
        <v>15.5</v>
      </c>
      <c r="AI46" s="90">
        <v>15.1</v>
      </c>
      <c r="AK46" s="90">
        <v>15.1</v>
      </c>
      <c r="AM46" s="90">
        <v>14.2</v>
      </c>
      <c r="AO46" s="90">
        <v>15.4</v>
      </c>
      <c r="AQ46" s="90">
        <v>14.35</v>
      </c>
      <c r="AS46" s="90">
        <v>14.6</v>
      </c>
    </row>
    <row r="47" spans="1:45" x14ac:dyDescent="0.25">
      <c r="A47" s="90">
        <v>14.9</v>
      </c>
      <c r="C47" s="90">
        <v>14.7</v>
      </c>
      <c r="E47" s="90">
        <v>16.399999999999999</v>
      </c>
      <c r="G47" s="90">
        <v>14.3</v>
      </c>
      <c r="I47" s="90">
        <v>15</v>
      </c>
      <c r="K47" s="90">
        <v>14.95</v>
      </c>
      <c r="M47" s="90">
        <v>15.23</v>
      </c>
      <c r="O47" s="90">
        <v>15.4</v>
      </c>
      <c r="Q47" s="90">
        <v>16</v>
      </c>
      <c r="S47" s="90">
        <v>13.6</v>
      </c>
      <c r="U47" s="90">
        <v>14.8</v>
      </c>
      <c r="W47" s="90">
        <v>14.8</v>
      </c>
      <c r="Y47" s="90">
        <v>15.5</v>
      </c>
      <c r="AA47" s="90">
        <v>16</v>
      </c>
      <c r="AC47" s="90">
        <v>15.7</v>
      </c>
      <c r="AE47" s="90">
        <v>14.2</v>
      </c>
      <c r="AG47" s="90">
        <v>15.2</v>
      </c>
      <c r="AI47" s="90">
        <v>15</v>
      </c>
      <c r="AK47" s="90">
        <v>15.2</v>
      </c>
      <c r="AM47" s="90">
        <v>14.55</v>
      </c>
      <c r="AO47" s="90">
        <v>15.5</v>
      </c>
      <c r="AQ47" s="90">
        <v>14.5</v>
      </c>
      <c r="AS47" s="90">
        <v>14.8</v>
      </c>
    </row>
    <row r="48" spans="1:45" x14ac:dyDescent="0.25">
      <c r="A48" s="90">
        <v>16.7</v>
      </c>
      <c r="C48" s="90">
        <v>16.3</v>
      </c>
      <c r="E48" s="90">
        <v>17</v>
      </c>
      <c r="G48" s="90">
        <v>17.600000000000001</v>
      </c>
      <c r="I48" s="90">
        <v>15.2</v>
      </c>
      <c r="K48" s="90">
        <v>15</v>
      </c>
      <c r="M48" s="90">
        <v>16</v>
      </c>
      <c r="O48" s="90">
        <v>15.2</v>
      </c>
      <c r="Q48" s="90">
        <v>15.2</v>
      </c>
      <c r="S48" s="90">
        <v>14.5</v>
      </c>
      <c r="U48" s="90">
        <v>14.8</v>
      </c>
      <c r="W48" s="90">
        <v>14.8</v>
      </c>
      <c r="Y48" s="90">
        <v>14.9</v>
      </c>
      <c r="AA48" s="90">
        <v>15.3</v>
      </c>
      <c r="AC48" s="90">
        <v>15.9</v>
      </c>
      <c r="AE48" s="90">
        <v>15.2</v>
      </c>
      <c r="AG48" s="90">
        <v>15.8</v>
      </c>
      <c r="AI48" s="90">
        <v>14.4</v>
      </c>
      <c r="AK48" s="90">
        <v>15.7</v>
      </c>
      <c r="AM48" s="90">
        <v>14.3</v>
      </c>
      <c r="AO48" s="90">
        <v>15.3</v>
      </c>
      <c r="AQ48" s="90">
        <v>14.6</v>
      </c>
      <c r="AS48" s="90">
        <v>17.2</v>
      </c>
    </row>
    <row r="49" spans="1:45" x14ac:dyDescent="0.25">
      <c r="A49" s="90">
        <v>15.4</v>
      </c>
      <c r="C49" s="90">
        <v>15.5</v>
      </c>
      <c r="E49" s="90">
        <v>16.5</v>
      </c>
      <c r="G49" s="90">
        <v>15.9</v>
      </c>
      <c r="I49" s="90">
        <v>16.100000000000001</v>
      </c>
      <c r="K49" s="90">
        <v>15</v>
      </c>
      <c r="M49" s="90">
        <v>15</v>
      </c>
      <c r="O49" s="90">
        <v>15.3</v>
      </c>
      <c r="Q49" s="90">
        <v>16.25</v>
      </c>
      <c r="S49" s="90">
        <v>13.9</v>
      </c>
      <c r="U49" s="90">
        <v>15.1</v>
      </c>
      <c r="W49" s="90">
        <v>14.1</v>
      </c>
      <c r="Y49" s="90">
        <v>14.9</v>
      </c>
      <c r="AA49" s="90">
        <v>15.3</v>
      </c>
      <c r="AC49" s="90">
        <v>16.100000000000001</v>
      </c>
      <c r="AE49" s="90">
        <v>16.2</v>
      </c>
      <c r="AG49" s="90">
        <v>15.4</v>
      </c>
      <c r="AI49" s="90">
        <v>16.8</v>
      </c>
      <c r="AK49" s="90">
        <v>15.5</v>
      </c>
      <c r="AM49" s="90">
        <v>14</v>
      </c>
      <c r="AO49" s="90">
        <v>15.8</v>
      </c>
      <c r="AQ49" s="90">
        <v>14.25</v>
      </c>
      <c r="AS49" s="90">
        <v>14.2</v>
      </c>
    </row>
    <row r="50" spans="1:45" x14ac:dyDescent="0.25">
      <c r="A50" s="90">
        <v>16.100000000000001</v>
      </c>
      <c r="C50" s="90">
        <v>15</v>
      </c>
      <c r="E50" s="90">
        <v>16.5</v>
      </c>
      <c r="G50" s="90">
        <v>15.8</v>
      </c>
      <c r="I50" s="90">
        <v>14.9</v>
      </c>
      <c r="K50" s="90">
        <v>15.1</v>
      </c>
      <c r="M50" s="90">
        <v>14.5</v>
      </c>
      <c r="O50" s="90">
        <v>17.2</v>
      </c>
      <c r="Q50" s="90">
        <v>16.2</v>
      </c>
      <c r="S50" s="90">
        <v>15.1</v>
      </c>
      <c r="U50" s="90">
        <v>14.8</v>
      </c>
      <c r="W50" s="90">
        <v>14.95</v>
      </c>
      <c r="Y50" s="90">
        <v>15.35</v>
      </c>
      <c r="AA50" s="90">
        <v>16.100000000000001</v>
      </c>
      <c r="AC50" s="90">
        <v>16.899999999999999</v>
      </c>
      <c r="AE50" s="90">
        <v>15.5</v>
      </c>
      <c r="AG50" s="90">
        <v>15.6</v>
      </c>
      <c r="AI50" s="90">
        <v>14.9</v>
      </c>
      <c r="AK50" s="90">
        <v>14.6</v>
      </c>
      <c r="AM50" s="90">
        <v>13.85</v>
      </c>
      <c r="AO50" s="90">
        <v>15.2</v>
      </c>
      <c r="AQ50" s="90">
        <v>16.7</v>
      </c>
      <c r="AS50" s="90">
        <v>14.8</v>
      </c>
    </row>
    <row r="51" spans="1:45" x14ac:dyDescent="0.25">
      <c r="A51" s="90">
        <v>15</v>
      </c>
      <c r="C51" s="90">
        <v>16.2</v>
      </c>
      <c r="E51" s="90">
        <v>16.899999999999999</v>
      </c>
      <c r="G51" s="90">
        <v>15</v>
      </c>
      <c r="I51" s="90">
        <v>14.8</v>
      </c>
      <c r="K51" s="90">
        <v>15.1</v>
      </c>
      <c r="M51" s="90">
        <v>14.9</v>
      </c>
      <c r="O51" s="90">
        <v>15.1</v>
      </c>
      <c r="Q51" s="90">
        <v>16.100000000000001</v>
      </c>
      <c r="S51" s="90">
        <v>14</v>
      </c>
      <c r="U51" s="90">
        <v>15.1</v>
      </c>
      <c r="W51" s="90">
        <v>14.65</v>
      </c>
      <c r="Y51" s="90">
        <v>15.1</v>
      </c>
      <c r="AA51" s="90">
        <v>14.1</v>
      </c>
      <c r="AC51" s="90">
        <v>15.7</v>
      </c>
      <c r="AE51" s="90">
        <v>16</v>
      </c>
      <c r="AG51" s="90">
        <v>15</v>
      </c>
      <c r="AI51" s="90">
        <v>15</v>
      </c>
      <c r="AK51" s="90">
        <v>15.5</v>
      </c>
      <c r="AM51" s="90">
        <v>14.4</v>
      </c>
      <c r="AO51" s="90">
        <v>15.3</v>
      </c>
      <c r="AQ51" s="90">
        <v>16</v>
      </c>
      <c r="AS51" s="90">
        <v>14</v>
      </c>
    </row>
    <row r="52" spans="1:45" x14ac:dyDescent="0.25">
      <c r="A52" s="90">
        <v>14.9</v>
      </c>
      <c r="C52" s="90">
        <v>15.8</v>
      </c>
      <c r="E52" s="90">
        <v>16.7</v>
      </c>
      <c r="G52" s="90">
        <v>16.3</v>
      </c>
      <c r="I52" s="90">
        <v>14.5</v>
      </c>
      <c r="K52" s="90">
        <v>15</v>
      </c>
      <c r="M52" s="90">
        <v>15.6</v>
      </c>
      <c r="O52" s="90">
        <v>14.7</v>
      </c>
      <c r="Q52" s="90">
        <v>15.9</v>
      </c>
      <c r="S52" s="90">
        <v>14.3</v>
      </c>
      <c r="U52" s="90">
        <v>14.9</v>
      </c>
      <c r="W52" s="90">
        <v>14.4</v>
      </c>
      <c r="Y52" s="90">
        <v>15</v>
      </c>
      <c r="AA52" s="90">
        <v>14.8</v>
      </c>
      <c r="AC52" s="90">
        <v>14.9</v>
      </c>
      <c r="AE52" s="90">
        <v>15.8</v>
      </c>
      <c r="AG52" s="90">
        <v>15.5</v>
      </c>
      <c r="AI52" s="90">
        <v>13.4</v>
      </c>
      <c r="AK52" s="90">
        <v>15.15</v>
      </c>
      <c r="AM52" s="90">
        <v>14.8</v>
      </c>
      <c r="AO52" s="90">
        <v>15.4</v>
      </c>
      <c r="AQ52" s="90">
        <v>16.100000000000001</v>
      </c>
      <c r="AS52" s="90">
        <v>14.7</v>
      </c>
    </row>
    <row r="53" spans="1:45" x14ac:dyDescent="0.25">
      <c r="A53" s="90">
        <v>15</v>
      </c>
      <c r="C53" s="90">
        <v>16.399999999999999</v>
      </c>
      <c r="E53" s="90">
        <v>16.600000000000001</v>
      </c>
      <c r="G53" s="90">
        <v>18</v>
      </c>
      <c r="I53" s="90">
        <v>14.4</v>
      </c>
      <c r="K53" s="90">
        <v>14.9</v>
      </c>
      <c r="M53" s="90">
        <v>15.5</v>
      </c>
      <c r="O53" s="90">
        <v>17</v>
      </c>
      <c r="Q53" s="90">
        <v>16.399999999999999</v>
      </c>
      <c r="S53" s="90">
        <v>14.8</v>
      </c>
      <c r="U53" s="90">
        <v>15</v>
      </c>
      <c r="W53" s="90">
        <v>15.1</v>
      </c>
      <c r="Y53" s="90">
        <v>16.600000000000001</v>
      </c>
      <c r="AA53" s="90">
        <v>15</v>
      </c>
      <c r="AC53" s="90">
        <v>15.2</v>
      </c>
      <c r="AE53" s="90">
        <v>15.4</v>
      </c>
      <c r="AG53" s="90">
        <v>15.7</v>
      </c>
      <c r="AI53" s="90">
        <v>14.9</v>
      </c>
      <c r="AK53" s="90">
        <v>15.8</v>
      </c>
      <c r="AM53" s="90">
        <v>14.4</v>
      </c>
      <c r="AO53" s="90">
        <v>15.4</v>
      </c>
      <c r="AQ53" s="90">
        <v>15.5</v>
      </c>
      <c r="AS53" s="90">
        <v>14.8</v>
      </c>
    </row>
    <row r="54" spans="1:45" x14ac:dyDescent="0.25">
      <c r="A54" s="90">
        <v>14.9</v>
      </c>
      <c r="C54" s="90">
        <v>15.5</v>
      </c>
      <c r="E54" s="90">
        <v>16.8</v>
      </c>
      <c r="G54" s="90">
        <v>16.600000000000001</v>
      </c>
      <c r="I54" s="90">
        <v>14.6</v>
      </c>
      <c r="K54" s="90">
        <v>15.6</v>
      </c>
      <c r="M54" s="90">
        <v>14.7</v>
      </c>
      <c r="O54" s="90">
        <v>17.100000000000001</v>
      </c>
      <c r="Q54" s="90">
        <v>16.95</v>
      </c>
      <c r="S54" s="90">
        <v>14.4</v>
      </c>
      <c r="U54" s="90">
        <v>14.7</v>
      </c>
      <c r="W54" s="90">
        <v>15.3</v>
      </c>
      <c r="Y54" s="90">
        <v>14.5</v>
      </c>
      <c r="AA54" s="90">
        <v>14.5</v>
      </c>
      <c r="AC54" s="90">
        <v>16.5</v>
      </c>
      <c r="AE54" s="90">
        <v>15.4</v>
      </c>
      <c r="AG54" s="90">
        <v>15.6</v>
      </c>
      <c r="AI54" s="90">
        <v>14.9</v>
      </c>
      <c r="AK54" s="90">
        <v>15.5</v>
      </c>
      <c r="AM54" s="90">
        <v>14.05</v>
      </c>
      <c r="AO54" s="90">
        <v>14</v>
      </c>
      <c r="AQ54" s="90">
        <v>15.3</v>
      </c>
      <c r="AS54" s="90">
        <v>14</v>
      </c>
    </row>
    <row r="55" spans="1:45" x14ac:dyDescent="0.25">
      <c r="A55" s="90">
        <v>14.5</v>
      </c>
      <c r="C55" s="90">
        <v>15.8</v>
      </c>
      <c r="E55" s="90">
        <v>17</v>
      </c>
      <c r="G55" s="90">
        <v>16.399999999999999</v>
      </c>
      <c r="I55" s="90">
        <v>14.5</v>
      </c>
      <c r="K55" s="90">
        <v>15.1</v>
      </c>
      <c r="M55" s="90">
        <v>15.2</v>
      </c>
      <c r="O55" s="90">
        <v>16.899999999999999</v>
      </c>
      <c r="Q55" s="90">
        <v>16.100000000000001</v>
      </c>
      <c r="S55" s="90">
        <v>14.4</v>
      </c>
      <c r="U55" s="90">
        <v>14.5</v>
      </c>
      <c r="W55" s="90">
        <v>15.4</v>
      </c>
      <c r="Y55" s="90">
        <v>16.3</v>
      </c>
      <c r="AA55" s="90">
        <v>14.9</v>
      </c>
      <c r="AC55" s="90">
        <v>15.6</v>
      </c>
      <c r="AE55" s="90">
        <v>15.8</v>
      </c>
      <c r="AG55" s="90">
        <v>15.6</v>
      </c>
      <c r="AI55" s="90">
        <v>14.8</v>
      </c>
      <c r="AK55" s="90">
        <v>15.7</v>
      </c>
      <c r="AM55" s="90">
        <v>15.4</v>
      </c>
      <c r="AO55" s="90">
        <v>15</v>
      </c>
      <c r="AQ55" s="90">
        <v>16.600000000000001</v>
      </c>
      <c r="AS55" s="90">
        <v>14.6</v>
      </c>
    </row>
    <row r="56" spans="1:45" x14ac:dyDescent="0.25">
      <c r="A56" s="90">
        <v>15.3</v>
      </c>
      <c r="C56" s="90">
        <v>16.2</v>
      </c>
      <c r="E56" s="90">
        <v>16.899999999999999</v>
      </c>
      <c r="G56" s="90">
        <v>15.5</v>
      </c>
      <c r="I56" s="90">
        <v>14.4</v>
      </c>
      <c r="K56" s="90">
        <v>15.2</v>
      </c>
      <c r="M56" s="90">
        <v>15.25</v>
      </c>
      <c r="O56" s="90">
        <v>17.100000000000001</v>
      </c>
      <c r="Q56" s="90">
        <v>15.1</v>
      </c>
      <c r="S56" s="90">
        <v>14</v>
      </c>
      <c r="U56" s="90">
        <v>14.5</v>
      </c>
      <c r="W56" s="90">
        <v>15.1</v>
      </c>
      <c r="Y56" s="90">
        <v>14.8</v>
      </c>
      <c r="AA56" s="90">
        <v>15</v>
      </c>
      <c r="AC56" s="90">
        <v>14.7</v>
      </c>
      <c r="AE56" s="90">
        <v>15.6</v>
      </c>
      <c r="AG56" s="90">
        <v>15.6</v>
      </c>
      <c r="AI56" s="90">
        <v>17.2</v>
      </c>
      <c r="AK56" s="90">
        <v>15.4</v>
      </c>
      <c r="AM56" s="90">
        <v>15.15</v>
      </c>
      <c r="AO56" s="90">
        <v>14.9</v>
      </c>
      <c r="AQ56" s="90">
        <v>12.5</v>
      </c>
      <c r="AS56" s="90">
        <v>14.4</v>
      </c>
    </row>
    <row r="57" spans="1:45" x14ac:dyDescent="0.25">
      <c r="A57" s="90">
        <v>14.9</v>
      </c>
      <c r="C57" s="90">
        <v>15.8</v>
      </c>
      <c r="E57" s="90">
        <v>18.899999999999999</v>
      </c>
      <c r="G57" s="90">
        <v>16.399999999999999</v>
      </c>
      <c r="I57" s="90">
        <v>14.65</v>
      </c>
      <c r="K57" s="90">
        <v>15.4</v>
      </c>
      <c r="M57" s="90">
        <v>15</v>
      </c>
      <c r="O57" s="90">
        <v>15</v>
      </c>
      <c r="Q57" s="90">
        <v>13.1</v>
      </c>
      <c r="S57" s="90">
        <v>14.1</v>
      </c>
      <c r="U57" s="90">
        <v>14.5</v>
      </c>
      <c r="W57" s="90">
        <v>14.7</v>
      </c>
      <c r="Y57" s="90">
        <v>14.9</v>
      </c>
      <c r="AA57" s="90">
        <v>15.5</v>
      </c>
      <c r="AC57" s="90">
        <v>14.7</v>
      </c>
      <c r="AE57" s="90">
        <v>15.3</v>
      </c>
      <c r="AG57" s="90">
        <v>15.5</v>
      </c>
      <c r="AI57" s="90">
        <v>15.1</v>
      </c>
      <c r="AK57" s="90">
        <v>15.7</v>
      </c>
      <c r="AM57" s="90">
        <v>16</v>
      </c>
      <c r="AO57" s="90">
        <v>15</v>
      </c>
      <c r="AQ57" s="90">
        <v>14.7</v>
      </c>
      <c r="AS57" s="90">
        <v>14</v>
      </c>
    </row>
    <row r="58" spans="1:45" x14ac:dyDescent="0.25">
      <c r="A58" s="90">
        <v>15.2</v>
      </c>
      <c r="C58" s="90">
        <v>16.3</v>
      </c>
      <c r="E58" s="90">
        <v>16.8</v>
      </c>
      <c r="G58" s="90">
        <v>14.1</v>
      </c>
      <c r="I58" s="90">
        <v>14.2</v>
      </c>
      <c r="K58" s="90">
        <v>15.1</v>
      </c>
      <c r="M58" s="90">
        <v>14.9</v>
      </c>
      <c r="O58" s="90">
        <v>15.1</v>
      </c>
      <c r="Q58" s="90">
        <v>14.8</v>
      </c>
      <c r="S58" s="90">
        <v>14.8</v>
      </c>
      <c r="U58" s="90">
        <v>15.95</v>
      </c>
      <c r="W58" s="90">
        <v>15</v>
      </c>
      <c r="Y58" s="90">
        <v>16</v>
      </c>
      <c r="AA58" s="90">
        <v>15.9</v>
      </c>
      <c r="AC58" s="90">
        <v>16.2</v>
      </c>
      <c r="AE58" s="90">
        <v>15.5</v>
      </c>
      <c r="AG58" s="90">
        <v>15.7</v>
      </c>
      <c r="AI58" s="90">
        <v>16.899999999999999</v>
      </c>
      <c r="AK58" s="90">
        <v>15.1</v>
      </c>
      <c r="AM58" s="90">
        <v>15.45</v>
      </c>
      <c r="AO58" s="90">
        <v>15.2</v>
      </c>
      <c r="AQ58" s="90">
        <v>14.4</v>
      </c>
      <c r="AS58" s="90">
        <v>15.2</v>
      </c>
    </row>
    <row r="59" spans="1:45" x14ac:dyDescent="0.25">
      <c r="A59" s="90">
        <v>14.9</v>
      </c>
      <c r="C59" s="90">
        <v>15.8</v>
      </c>
      <c r="E59" s="90">
        <v>14.4</v>
      </c>
      <c r="G59" s="90">
        <v>14</v>
      </c>
      <c r="I59" s="90">
        <v>14.7</v>
      </c>
      <c r="K59" s="90">
        <v>15.2</v>
      </c>
      <c r="M59" s="90">
        <v>15</v>
      </c>
      <c r="O59" s="90">
        <v>15.1</v>
      </c>
      <c r="Q59" s="90">
        <v>16.600000000000001</v>
      </c>
      <c r="S59" s="90">
        <v>15.1</v>
      </c>
      <c r="U59" s="90">
        <v>15</v>
      </c>
      <c r="W59" s="90">
        <v>14.85</v>
      </c>
      <c r="Y59" s="90">
        <v>15.7</v>
      </c>
      <c r="AA59" s="90">
        <v>14.7</v>
      </c>
      <c r="AC59" s="90">
        <v>14.2</v>
      </c>
      <c r="AE59" s="90">
        <v>16.2</v>
      </c>
      <c r="AG59" s="90">
        <v>15.6</v>
      </c>
      <c r="AI59" s="90">
        <v>15.9</v>
      </c>
      <c r="AK59" s="90">
        <v>14.6</v>
      </c>
      <c r="AM59" s="90">
        <v>15.45</v>
      </c>
      <c r="AO59" s="90">
        <v>15.2</v>
      </c>
      <c r="AQ59" s="90">
        <v>14.4</v>
      </c>
      <c r="AS59" s="90">
        <v>14.6</v>
      </c>
    </row>
    <row r="60" spans="1:45" x14ac:dyDescent="0.25">
      <c r="A60" s="90">
        <v>14.9</v>
      </c>
      <c r="C60" s="90">
        <v>16.3</v>
      </c>
      <c r="E60" s="90">
        <v>15.2</v>
      </c>
      <c r="G60" s="90">
        <v>15.9</v>
      </c>
      <c r="I60" s="90">
        <v>14.8</v>
      </c>
      <c r="K60" s="90">
        <v>15</v>
      </c>
      <c r="M60" s="90">
        <v>15.2</v>
      </c>
      <c r="O60" s="90">
        <v>15.9</v>
      </c>
      <c r="Q60" s="90">
        <v>14.7</v>
      </c>
      <c r="S60" s="90">
        <v>14.2</v>
      </c>
      <c r="U60" s="90">
        <v>14.6</v>
      </c>
      <c r="W60" s="90">
        <v>15.1</v>
      </c>
      <c r="Y60" s="90">
        <v>15.3</v>
      </c>
      <c r="AA60" s="90">
        <v>15.9</v>
      </c>
      <c r="AC60" s="90">
        <v>16.600000000000001</v>
      </c>
      <c r="AE60" s="90">
        <v>15.5</v>
      </c>
      <c r="AG60" s="90">
        <v>15.7</v>
      </c>
      <c r="AI60" s="90">
        <v>14.8</v>
      </c>
      <c r="AK60" s="90">
        <v>15.2</v>
      </c>
      <c r="AM60" s="90">
        <v>14.6</v>
      </c>
      <c r="AO60" s="90">
        <v>15.6</v>
      </c>
      <c r="AQ60" s="90">
        <v>14</v>
      </c>
      <c r="AS60" s="90">
        <v>14.4</v>
      </c>
    </row>
    <row r="61" spans="1:45" x14ac:dyDescent="0.25">
      <c r="A61" s="90">
        <v>15.1</v>
      </c>
      <c r="C61" s="90">
        <v>16.2</v>
      </c>
      <c r="E61" s="90">
        <v>15.9</v>
      </c>
      <c r="G61" s="90">
        <v>14</v>
      </c>
      <c r="I61" s="90">
        <v>15.1</v>
      </c>
      <c r="K61" s="90">
        <v>16.100000000000001</v>
      </c>
      <c r="M61" s="90">
        <v>15.1</v>
      </c>
      <c r="O61" s="90">
        <v>15</v>
      </c>
      <c r="Q61" s="90">
        <v>14.7</v>
      </c>
      <c r="S61" s="90">
        <v>15.2</v>
      </c>
      <c r="U61" s="90">
        <v>14.65</v>
      </c>
      <c r="W61" s="90">
        <v>16.5</v>
      </c>
      <c r="Y61" s="90">
        <v>15.5</v>
      </c>
      <c r="AA61" s="90">
        <v>14.2</v>
      </c>
      <c r="AC61" s="90">
        <v>15.5</v>
      </c>
      <c r="AE61" s="90">
        <v>14</v>
      </c>
      <c r="AG61" s="90">
        <v>15.6</v>
      </c>
      <c r="AI61" s="90">
        <v>14.8</v>
      </c>
      <c r="AK61" s="90">
        <v>14.9</v>
      </c>
      <c r="AM61" s="90">
        <v>14.35</v>
      </c>
      <c r="AO61" s="90">
        <v>15</v>
      </c>
      <c r="AQ61" s="90">
        <v>13.6</v>
      </c>
      <c r="AS61" s="90">
        <v>15.4</v>
      </c>
    </row>
    <row r="62" spans="1:45" x14ac:dyDescent="0.25">
      <c r="A62" s="90">
        <v>16.100000000000001</v>
      </c>
      <c r="C62" s="90">
        <v>16.100000000000001</v>
      </c>
      <c r="E62" s="90">
        <v>15.9</v>
      </c>
      <c r="G62" s="90">
        <v>14.2</v>
      </c>
      <c r="I62" s="90">
        <v>14.7</v>
      </c>
      <c r="K62" s="90">
        <v>16.7</v>
      </c>
      <c r="M62" s="90">
        <v>15.2</v>
      </c>
      <c r="O62" s="90">
        <v>15.5</v>
      </c>
      <c r="Q62" s="90">
        <v>14.7</v>
      </c>
      <c r="S62" s="90">
        <v>14.9</v>
      </c>
      <c r="U62" s="90">
        <v>14.9</v>
      </c>
      <c r="W62" s="90">
        <v>15</v>
      </c>
      <c r="Y62" s="90">
        <v>14.8</v>
      </c>
      <c r="AA62" s="90">
        <v>14.8</v>
      </c>
      <c r="AC62" s="90">
        <v>15.7</v>
      </c>
      <c r="AE62" s="90">
        <v>15.9</v>
      </c>
      <c r="AG62" s="90">
        <v>15.6</v>
      </c>
      <c r="AI62" s="90">
        <v>14.6</v>
      </c>
      <c r="AK62" s="90">
        <v>14.5</v>
      </c>
      <c r="AM62" s="90">
        <v>15.4</v>
      </c>
      <c r="AO62" s="90">
        <v>15.1</v>
      </c>
      <c r="AQ62" s="90">
        <v>15.6</v>
      </c>
      <c r="AS62" s="90">
        <v>14.3</v>
      </c>
    </row>
    <row r="63" spans="1:45" x14ac:dyDescent="0.25">
      <c r="A63" s="90">
        <v>15.1</v>
      </c>
      <c r="C63" s="90">
        <v>15.9</v>
      </c>
      <c r="E63" s="90">
        <v>14.9</v>
      </c>
      <c r="G63" s="90">
        <v>15.8</v>
      </c>
      <c r="I63" s="90">
        <v>14.45</v>
      </c>
      <c r="K63" s="90">
        <v>17.100000000000001</v>
      </c>
      <c r="M63" s="90">
        <v>14.9</v>
      </c>
      <c r="O63" s="90">
        <v>15.1</v>
      </c>
      <c r="Q63" s="90">
        <v>14.7</v>
      </c>
      <c r="S63" s="90">
        <v>15.5</v>
      </c>
      <c r="U63" s="90">
        <v>15.8</v>
      </c>
      <c r="W63" s="90">
        <v>15</v>
      </c>
      <c r="Y63" s="90">
        <v>15</v>
      </c>
      <c r="AA63" s="90">
        <v>15.8</v>
      </c>
      <c r="AC63" s="90">
        <v>14.4</v>
      </c>
      <c r="AE63" s="90">
        <v>15.7</v>
      </c>
      <c r="AG63" s="90">
        <v>15.6</v>
      </c>
      <c r="AI63" s="90">
        <v>15.8</v>
      </c>
      <c r="AK63" s="90">
        <v>14.1</v>
      </c>
      <c r="AM63" s="90">
        <v>14.6</v>
      </c>
      <c r="AO63" s="90">
        <v>15.3</v>
      </c>
      <c r="AQ63" s="90">
        <v>14.6</v>
      </c>
      <c r="AS63" s="90">
        <v>14.9</v>
      </c>
    </row>
    <row r="64" spans="1:45" x14ac:dyDescent="0.25">
      <c r="A64" s="90">
        <v>15</v>
      </c>
      <c r="C64" s="90">
        <v>16.600000000000001</v>
      </c>
      <c r="E64" s="90">
        <v>15.8</v>
      </c>
      <c r="G64" s="90">
        <v>16.600000000000001</v>
      </c>
      <c r="I64" s="90">
        <v>14.8</v>
      </c>
      <c r="K64" s="90">
        <v>15</v>
      </c>
      <c r="M64" s="90">
        <v>15.1</v>
      </c>
      <c r="O64" s="90">
        <v>15.2</v>
      </c>
      <c r="Q64" s="90">
        <v>14.6</v>
      </c>
      <c r="S64" s="90">
        <v>15.8</v>
      </c>
      <c r="U64" s="90">
        <v>14.8</v>
      </c>
      <c r="W64" s="90">
        <v>15.1</v>
      </c>
      <c r="Y64" s="90">
        <v>15.1</v>
      </c>
      <c r="AA64" s="90">
        <v>15.2</v>
      </c>
      <c r="AC64" s="90">
        <v>14.5</v>
      </c>
      <c r="AE64" s="90">
        <v>15.9</v>
      </c>
      <c r="AG64" s="90">
        <v>15.7</v>
      </c>
      <c r="AI64" s="90">
        <v>15.4</v>
      </c>
      <c r="AK64" s="90">
        <v>15.1</v>
      </c>
      <c r="AM64" s="90">
        <v>14.1</v>
      </c>
      <c r="AO64" s="90">
        <v>16.8</v>
      </c>
      <c r="AQ64" s="90">
        <v>14.4</v>
      </c>
      <c r="AS64" s="90">
        <v>14.7</v>
      </c>
    </row>
    <row r="65" spans="1:45" x14ac:dyDescent="0.25">
      <c r="A65" s="90">
        <v>14.8</v>
      </c>
      <c r="C65" s="90">
        <v>15.9</v>
      </c>
      <c r="E65" s="90">
        <v>15.8</v>
      </c>
      <c r="G65" s="90">
        <v>15.8</v>
      </c>
      <c r="I65" s="90">
        <v>14.5</v>
      </c>
      <c r="K65" s="90">
        <v>15.1</v>
      </c>
      <c r="M65" s="90">
        <v>16</v>
      </c>
      <c r="O65" s="90">
        <v>15</v>
      </c>
      <c r="Q65" s="90">
        <v>14.8</v>
      </c>
      <c r="S65" s="90">
        <v>15.2</v>
      </c>
      <c r="U65" s="90">
        <v>14</v>
      </c>
      <c r="W65" s="90">
        <v>14.1</v>
      </c>
      <c r="Y65" s="90">
        <v>15</v>
      </c>
      <c r="AA65" s="90">
        <v>14.8</v>
      </c>
      <c r="AC65" s="90">
        <v>15.2</v>
      </c>
      <c r="AE65" s="90">
        <v>15</v>
      </c>
      <c r="AG65" s="90">
        <v>15.6</v>
      </c>
      <c r="AI65" s="90">
        <v>14.6</v>
      </c>
      <c r="AK65" s="90">
        <v>15.2</v>
      </c>
      <c r="AM65" s="90">
        <v>14.7</v>
      </c>
      <c r="AO65" s="90">
        <v>15.1</v>
      </c>
      <c r="AQ65" s="90">
        <v>15.5</v>
      </c>
      <c r="AS65" s="90">
        <v>14.6</v>
      </c>
    </row>
    <row r="66" spans="1:45" x14ac:dyDescent="0.25">
      <c r="A66" s="90">
        <v>15.1</v>
      </c>
      <c r="C66" s="90">
        <v>15.9</v>
      </c>
      <c r="E66" s="90">
        <v>15.5</v>
      </c>
      <c r="G66" s="90">
        <v>14.2</v>
      </c>
      <c r="I66" s="90">
        <v>14.5</v>
      </c>
      <c r="K66" s="90">
        <v>15.1</v>
      </c>
      <c r="M66" s="90">
        <v>15.1</v>
      </c>
      <c r="O66" s="90">
        <v>16.2</v>
      </c>
      <c r="Q66" s="90">
        <v>14.6</v>
      </c>
      <c r="S66" s="90">
        <v>14.5</v>
      </c>
      <c r="U66" s="90">
        <v>16.5</v>
      </c>
      <c r="W66" s="90">
        <v>14.6</v>
      </c>
      <c r="Y66" s="90">
        <v>14.5</v>
      </c>
      <c r="AA66" s="90">
        <v>14.5</v>
      </c>
      <c r="AC66" s="90">
        <v>15</v>
      </c>
      <c r="AE66" s="90">
        <v>15</v>
      </c>
      <c r="AG66" s="90">
        <v>15.6</v>
      </c>
      <c r="AI66" s="90">
        <v>14.1</v>
      </c>
      <c r="AK66" s="90">
        <v>15</v>
      </c>
      <c r="AM66" s="90">
        <v>15</v>
      </c>
      <c r="AO66" s="90">
        <v>15.1</v>
      </c>
      <c r="AQ66" s="90">
        <v>14.5</v>
      </c>
      <c r="AS66" s="90">
        <v>14.9</v>
      </c>
    </row>
    <row r="67" spans="1:45" x14ac:dyDescent="0.25">
      <c r="A67" s="90">
        <v>15.1</v>
      </c>
      <c r="C67" s="90">
        <v>16.899999999999999</v>
      </c>
      <c r="E67" s="90">
        <v>16.5</v>
      </c>
      <c r="G67" s="90">
        <v>15.7</v>
      </c>
      <c r="I67" s="90">
        <v>15.2</v>
      </c>
      <c r="K67" s="90">
        <v>14.9</v>
      </c>
      <c r="M67" s="90">
        <v>15.1</v>
      </c>
      <c r="O67" s="90">
        <v>17.8</v>
      </c>
      <c r="Q67" s="90">
        <v>14.7</v>
      </c>
      <c r="S67" s="90">
        <v>15.2</v>
      </c>
      <c r="U67" s="90">
        <v>14.8</v>
      </c>
      <c r="W67" s="90">
        <v>14.7</v>
      </c>
      <c r="Y67" s="90">
        <v>15.35</v>
      </c>
      <c r="AA67" s="90">
        <v>14.5</v>
      </c>
      <c r="AC67" s="90">
        <v>15</v>
      </c>
      <c r="AE67" s="90">
        <v>13.1</v>
      </c>
      <c r="AG67" s="90">
        <v>15.7</v>
      </c>
      <c r="AI67" s="90">
        <v>16.2</v>
      </c>
      <c r="AK67" s="90">
        <v>14.9</v>
      </c>
      <c r="AM67" s="90">
        <v>15.2</v>
      </c>
      <c r="AO67" s="90">
        <v>15.7</v>
      </c>
      <c r="AQ67" s="90">
        <v>16</v>
      </c>
      <c r="AS67" s="90">
        <v>14.7</v>
      </c>
    </row>
    <row r="68" spans="1:45" x14ac:dyDescent="0.25">
      <c r="A68" s="90">
        <v>15.1</v>
      </c>
      <c r="C68" s="90">
        <v>15.8</v>
      </c>
      <c r="E68" s="90">
        <v>16</v>
      </c>
      <c r="G68" s="90">
        <v>15.2</v>
      </c>
      <c r="I68" s="90">
        <v>14.95</v>
      </c>
      <c r="K68" s="90">
        <v>17</v>
      </c>
      <c r="M68" s="90">
        <v>15.3</v>
      </c>
      <c r="O68" s="90">
        <v>15.4</v>
      </c>
      <c r="Q68" s="90">
        <v>14.3</v>
      </c>
      <c r="S68" s="90">
        <v>15.2</v>
      </c>
      <c r="U68" s="90">
        <v>15</v>
      </c>
      <c r="W68" s="90">
        <v>14</v>
      </c>
      <c r="Y68" s="90">
        <v>15.7</v>
      </c>
      <c r="AA68" s="90">
        <v>14.8</v>
      </c>
      <c r="AC68" s="90">
        <v>14.7</v>
      </c>
      <c r="AE68" s="90">
        <v>14</v>
      </c>
      <c r="AG68" s="90">
        <v>15.7</v>
      </c>
      <c r="AI68" s="90">
        <v>15.1</v>
      </c>
      <c r="AK68" s="90">
        <v>14.5</v>
      </c>
      <c r="AM68" s="90">
        <v>14.1</v>
      </c>
      <c r="AO68" s="90">
        <v>15.3</v>
      </c>
      <c r="AQ68" s="90">
        <v>15.2</v>
      </c>
      <c r="AS68" s="90">
        <v>14.1</v>
      </c>
    </row>
    <row r="69" spans="1:45" x14ac:dyDescent="0.25">
      <c r="A69" s="90">
        <v>14.5</v>
      </c>
      <c r="C69" s="90">
        <v>16.100000000000001</v>
      </c>
      <c r="E69" s="90">
        <v>15.5</v>
      </c>
      <c r="G69" s="90">
        <v>16.100000000000001</v>
      </c>
      <c r="I69" s="90">
        <v>14.5</v>
      </c>
      <c r="K69" s="90">
        <v>16.899999999999999</v>
      </c>
      <c r="M69" s="90">
        <v>15</v>
      </c>
      <c r="O69" s="90">
        <v>15.1</v>
      </c>
      <c r="Q69" s="90">
        <v>14.5</v>
      </c>
      <c r="S69" s="90">
        <v>15.2</v>
      </c>
      <c r="U69" s="90">
        <v>15.6</v>
      </c>
      <c r="W69" s="90">
        <v>14.6</v>
      </c>
      <c r="Y69" s="90">
        <v>13.8</v>
      </c>
      <c r="AA69" s="90">
        <v>15.3</v>
      </c>
      <c r="AC69" s="90">
        <v>14.6</v>
      </c>
      <c r="AE69" s="90">
        <v>16.2</v>
      </c>
      <c r="AG69" s="90">
        <v>15.6</v>
      </c>
      <c r="AI69" s="90">
        <v>15.2</v>
      </c>
      <c r="AK69" s="90">
        <v>14.8</v>
      </c>
      <c r="AM69" s="90">
        <v>14.15</v>
      </c>
      <c r="AO69" s="90">
        <v>15.3</v>
      </c>
      <c r="AQ69" s="90">
        <v>15.1</v>
      </c>
      <c r="AS69" s="90">
        <v>14.7</v>
      </c>
    </row>
    <row r="70" spans="1:45" x14ac:dyDescent="0.25">
      <c r="A70" s="90">
        <v>14.8</v>
      </c>
      <c r="C70" s="90">
        <v>15.6</v>
      </c>
      <c r="E70" s="90">
        <v>15.4</v>
      </c>
      <c r="G70" s="90">
        <v>15.8</v>
      </c>
      <c r="I70" s="90">
        <v>14.7</v>
      </c>
      <c r="K70" s="90">
        <v>16.8</v>
      </c>
      <c r="M70" s="90">
        <v>15.1</v>
      </c>
      <c r="O70" s="90">
        <v>15.7</v>
      </c>
      <c r="Q70" s="90">
        <v>14.5</v>
      </c>
      <c r="S70" s="90">
        <v>15.2</v>
      </c>
      <c r="U70" s="90">
        <v>15</v>
      </c>
      <c r="W70" s="90">
        <v>14.4</v>
      </c>
      <c r="Y70" s="90">
        <v>15.2</v>
      </c>
      <c r="AA70" s="90">
        <v>14.7</v>
      </c>
      <c r="AC70" s="90">
        <v>14.6</v>
      </c>
      <c r="AE70" s="90">
        <v>16</v>
      </c>
      <c r="AG70" s="90">
        <v>15.6</v>
      </c>
      <c r="AI70" s="90">
        <v>14.6</v>
      </c>
      <c r="AK70" s="90">
        <v>15.1</v>
      </c>
      <c r="AM70" s="90">
        <v>15.1</v>
      </c>
      <c r="AO70" s="90">
        <v>15.1</v>
      </c>
      <c r="AQ70" s="90">
        <v>15.5</v>
      </c>
      <c r="AS70" s="90">
        <v>14.6</v>
      </c>
    </row>
    <row r="71" spans="1:45" x14ac:dyDescent="0.25">
      <c r="A71" s="90">
        <v>14.3</v>
      </c>
      <c r="C71" s="90">
        <v>16.8</v>
      </c>
      <c r="E71" s="90">
        <v>15.8</v>
      </c>
      <c r="G71" s="90">
        <v>15.6</v>
      </c>
      <c r="I71" s="90">
        <v>15</v>
      </c>
      <c r="K71" s="90">
        <v>15.1</v>
      </c>
      <c r="M71" s="90">
        <v>14.7</v>
      </c>
      <c r="O71" s="90">
        <v>16.2</v>
      </c>
      <c r="Q71" s="90">
        <v>15</v>
      </c>
      <c r="S71" s="90">
        <v>14.7</v>
      </c>
      <c r="U71" s="90">
        <v>16.100000000000001</v>
      </c>
      <c r="W71" s="90">
        <v>14.6</v>
      </c>
      <c r="Y71" s="90">
        <v>17.100000000000001</v>
      </c>
      <c r="AA71" s="90">
        <v>15.1</v>
      </c>
      <c r="AC71" s="90">
        <v>14.7</v>
      </c>
      <c r="AE71" s="90">
        <v>14.4</v>
      </c>
      <c r="AG71" s="90">
        <v>15.6</v>
      </c>
      <c r="AI71" s="90">
        <v>15.4</v>
      </c>
      <c r="AK71" s="90">
        <v>14.9</v>
      </c>
      <c r="AM71" s="90">
        <v>15.1</v>
      </c>
      <c r="AO71" s="90">
        <v>14.9</v>
      </c>
      <c r="AQ71" s="90">
        <v>15.1</v>
      </c>
      <c r="AS71" s="90">
        <v>14.7</v>
      </c>
    </row>
    <row r="72" spans="1:45" x14ac:dyDescent="0.25">
      <c r="A72" s="90">
        <v>15.8</v>
      </c>
      <c r="C72" s="90">
        <v>16.5</v>
      </c>
      <c r="E72" s="90">
        <v>16.600000000000001</v>
      </c>
      <c r="G72" s="90">
        <v>15.4</v>
      </c>
      <c r="I72" s="90">
        <v>15.4</v>
      </c>
      <c r="K72" s="90">
        <v>17.100000000000001</v>
      </c>
      <c r="M72" s="90">
        <v>14.9</v>
      </c>
      <c r="O72" s="90">
        <v>15.2</v>
      </c>
      <c r="Q72" s="90">
        <v>14.5</v>
      </c>
      <c r="S72" s="90">
        <v>15.2</v>
      </c>
      <c r="U72" s="90">
        <v>14.7</v>
      </c>
      <c r="W72" s="90">
        <v>14.6</v>
      </c>
      <c r="Y72" s="90">
        <v>16.399999999999999</v>
      </c>
      <c r="AA72" s="90">
        <v>16.100000000000001</v>
      </c>
      <c r="AC72" s="90">
        <v>14.7</v>
      </c>
      <c r="AE72" s="90">
        <v>16.2</v>
      </c>
      <c r="AG72" s="90">
        <v>15.5</v>
      </c>
      <c r="AI72" s="90">
        <v>14.8</v>
      </c>
      <c r="AK72" s="90">
        <v>14.7</v>
      </c>
      <c r="AM72" s="90">
        <v>15.65</v>
      </c>
      <c r="AO72" s="90">
        <v>14.9</v>
      </c>
      <c r="AQ72" s="90">
        <v>15.1</v>
      </c>
      <c r="AS72" s="90">
        <v>14.2</v>
      </c>
    </row>
    <row r="73" spans="1:45" x14ac:dyDescent="0.25">
      <c r="A73" s="90">
        <v>15</v>
      </c>
      <c r="C73" s="90">
        <v>16.5</v>
      </c>
      <c r="E73" s="90">
        <v>15.6</v>
      </c>
      <c r="G73" s="90">
        <v>154</v>
      </c>
      <c r="I73" s="90">
        <v>15</v>
      </c>
      <c r="K73" s="90">
        <v>16.399999999999999</v>
      </c>
      <c r="M73" s="90">
        <v>15</v>
      </c>
      <c r="O73" s="90">
        <v>15.2</v>
      </c>
      <c r="Q73" s="90">
        <v>14.5</v>
      </c>
      <c r="S73" s="90">
        <v>14.9</v>
      </c>
      <c r="U73" s="90">
        <v>14.8</v>
      </c>
      <c r="W73" s="90">
        <v>14.7</v>
      </c>
      <c r="Y73" s="90">
        <v>14.4</v>
      </c>
      <c r="AA73" s="90">
        <v>14.3</v>
      </c>
      <c r="AC73" s="90">
        <v>14.5</v>
      </c>
      <c r="AE73" s="90">
        <v>15.9</v>
      </c>
      <c r="AG73" s="90">
        <v>15.6</v>
      </c>
      <c r="AI73" s="90">
        <v>14</v>
      </c>
      <c r="AK73" s="90">
        <v>15.5</v>
      </c>
      <c r="AM73" s="90">
        <v>15.3</v>
      </c>
      <c r="AO73" s="90">
        <v>15</v>
      </c>
      <c r="AQ73" s="90">
        <v>14.1</v>
      </c>
      <c r="AS73" s="90">
        <v>14.8</v>
      </c>
    </row>
    <row r="74" spans="1:45" x14ac:dyDescent="0.25">
      <c r="A74" s="90">
        <v>15.5</v>
      </c>
      <c r="C74" s="90">
        <v>16.5</v>
      </c>
      <c r="E74" s="90">
        <v>15.9</v>
      </c>
      <c r="G74" s="90">
        <v>15.6</v>
      </c>
      <c r="I74" s="90">
        <v>15</v>
      </c>
      <c r="K74" s="90">
        <v>17.399999999999999</v>
      </c>
      <c r="M74" s="90">
        <v>15.5</v>
      </c>
      <c r="O74" s="90">
        <v>16.21</v>
      </c>
      <c r="Q74" s="90">
        <v>14.7</v>
      </c>
      <c r="S74" s="90">
        <v>16</v>
      </c>
      <c r="U74" s="90">
        <v>16.5</v>
      </c>
      <c r="W74" s="90">
        <v>14.6</v>
      </c>
      <c r="Y74" s="90">
        <v>13.8</v>
      </c>
      <c r="AA74" s="90">
        <v>14.8</v>
      </c>
      <c r="AC74" s="90">
        <v>14.6</v>
      </c>
      <c r="AE74" s="90">
        <v>15.8</v>
      </c>
      <c r="AG74" s="90">
        <v>15.6</v>
      </c>
      <c r="AI74" s="90">
        <v>16.3</v>
      </c>
      <c r="AK74" s="90">
        <v>15.9</v>
      </c>
      <c r="AM74" s="90">
        <v>15.65</v>
      </c>
      <c r="AO74" s="90">
        <v>15.2</v>
      </c>
      <c r="AQ74" s="90">
        <v>14.3</v>
      </c>
      <c r="AS74" s="90">
        <v>14.6</v>
      </c>
    </row>
    <row r="75" spans="1:45" x14ac:dyDescent="0.25">
      <c r="A75" s="90">
        <v>16.5</v>
      </c>
      <c r="C75" s="90">
        <v>16.8</v>
      </c>
      <c r="E75" s="90">
        <v>16.2</v>
      </c>
      <c r="G75" s="90">
        <v>14.2</v>
      </c>
      <c r="I75" s="90">
        <v>15</v>
      </c>
      <c r="K75" s="90">
        <v>16.7</v>
      </c>
      <c r="M75" s="90">
        <v>15.6</v>
      </c>
      <c r="O75" s="90">
        <v>16.600000000000001</v>
      </c>
      <c r="Q75" s="90">
        <v>14.7</v>
      </c>
      <c r="S75" s="90">
        <v>14.9</v>
      </c>
      <c r="U75" s="90">
        <v>16.7</v>
      </c>
      <c r="W75" s="90">
        <v>14.75</v>
      </c>
      <c r="Y75" s="90">
        <v>13.8</v>
      </c>
      <c r="AA75" s="90">
        <v>15.3</v>
      </c>
      <c r="AC75" s="90">
        <v>14.8</v>
      </c>
      <c r="AE75" s="90">
        <v>14.8</v>
      </c>
      <c r="AG75" s="90">
        <v>15.7</v>
      </c>
      <c r="AI75" s="90">
        <v>15.9</v>
      </c>
      <c r="AK75" s="90">
        <v>15.1</v>
      </c>
      <c r="AM75" s="90">
        <v>14.2</v>
      </c>
      <c r="AO75" s="90">
        <v>14</v>
      </c>
      <c r="AQ75" s="90">
        <v>13.9</v>
      </c>
      <c r="AS75" s="90">
        <v>14.8</v>
      </c>
    </row>
    <row r="76" spans="1:45" x14ac:dyDescent="0.25">
      <c r="A76" s="90">
        <v>15.7</v>
      </c>
      <c r="C76" s="90">
        <v>16.600000000000001</v>
      </c>
      <c r="E76" s="90">
        <v>15.9</v>
      </c>
      <c r="G76" s="90">
        <v>13.5</v>
      </c>
      <c r="I76" s="90">
        <v>14.6</v>
      </c>
      <c r="K76" s="90">
        <v>16.7</v>
      </c>
      <c r="M76" s="90">
        <v>15.6</v>
      </c>
      <c r="O76" s="90">
        <v>15.2</v>
      </c>
      <c r="Q76" s="90">
        <v>15.1</v>
      </c>
      <c r="S76" s="90">
        <v>15.1</v>
      </c>
      <c r="U76" s="90">
        <v>15</v>
      </c>
      <c r="W76" s="90">
        <v>14.7</v>
      </c>
      <c r="Y76" s="90">
        <v>13.8</v>
      </c>
      <c r="AA76" s="90">
        <v>16.100000000000001</v>
      </c>
      <c r="AC76" s="90">
        <v>15.3</v>
      </c>
      <c r="AE76" s="90">
        <v>14</v>
      </c>
      <c r="AG76" s="90">
        <v>15.4</v>
      </c>
      <c r="AI76" s="90">
        <v>16.100000000000001</v>
      </c>
      <c r="AK76" s="90">
        <v>14.5</v>
      </c>
      <c r="AM76" s="90">
        <v>14.35</v>
      </c>
      <c r="AO76" s="90">
        <v>15.1</v>
      </c>
      <c r="AQ76" s="90">
        <v>14.5</v>
      </c>
      <c r="AS76" s="90">
        <v>14.6</v>
      </c>
    </row>
    <row r="77" spans="1:45" x14ac:dyDescent="0.25">
      <c r="A77" s="90">
        <v>14.5</v>
      </c>
      <c r="C77" s="90">
        <v>16.899999999999999</v>
      </c>
      <c r="E77" s="90">
        <v>16.399999999999999</v>
      </c>
      <c r="G77" s="90">
        <v>14.9</v>
      </c>
      <c r="I77" s="90">
        <v>15</v>
      </c>
      <c r="K77" s="90">
        <v>16.600000000000001</v>
      </c>
      <c r="M77" s="90">
        <v>15.5</v>
      </c>
      <c r="O77" s="90">
        <v>14.5</v>
      </c>
      <c r="Q77" s="90">
        <v>15.1</v>
      </c>
      <c r="S77" s="90">
        <v>15.1</v>
      </c>
      <c r="U77" s="90">
        <v>16</v>
      </c>
      <c r="W77" s="90">
        <v>14</v>
      </c>
      <c r="Y77" s="90">
        <v>14.1</v>
      </c>
      <c r="AA77" s="90">
        <v>14.8</v>
      </c>
      <c r="AC77" s="90">
        <v>14.7</v>
      </c>
      <c r="AE77" s="90">
        <v>14.7</v>
      </c>
      <c r="AG77" s="90">
        <v>15.6</v>
      </c>
      <c r="AI77" s="90">
        <v>16.399999999999999</v>
      </c>
      <c r="AK77" s="90">
        <v>15.4</v>
      </c>
      <c r="AM77" s="90">
        <v>15.85</v>
      </c>
      <c r="AO77" s="90">
        <v>15.3</v>
      </c>
      <c r="AQ77" s="90">
        <v>14.5</v>
      </c>
      <c r="AS77" s="90">
        <v>15.3</v>
      </c>
    </row>
    <row r="78" spans="1:45" x14ac:dyDescent="0.25">
      <c r="A78" s="90">
        <v>16.8</v>
      </c>
      <c r="C78" s="90">
        <v>15.5</v>
      </c>
      <c r="E78" s="90">
        <v>16.5</v>
      </c>
      <c r="G78" s="90">
        <v>13.7</v>
      </c>
      <c r="I78" s="90">
        <v>15</v>
      </c>
      <c r="K78" s="90">
        <v>16.8</v>
      </c>
      <c r="M78" s="90">
        <v>15.1</v>
      </c>
      <c r="O78" s="90">
        <v>15.4</v>
      </c>
      <c r="Q78" s="90">
        <v>15.1</v>
      </c>
      <c r="S78" s="90">
        <v>15</v>
      </c>
      <c r="U78" s="90">
        <v>16.5</v>
      </c>
      <c r="W78" s="90">
        <v>14.6</v>
      </c>
      <c r="Y78" s="90">
        <v>14.46</v>
      </c>
      <c r="AA78" s="90">
        <v>14.1</v>
      </c>
      <c r="AC78" s="90">
        <v>14.6</v>
      </c>
      <c r="AE78" s="90">
        <v>14.9</v>
      </c>
      <c r="AG78" s="90">
        <v>15.8</v>
      </c>
      <c r="AI78" s="90">
        <v>16.399999999999999</v>
      </c>
      <c r="AK78" s="90">
        <v>15.1</v>
      </c>
      <c r="AM78" s="90">
        <v>14.3</v>
      </c>
      <c r="AO78" s="90">
        <v>15.3</v>
      </c>
      <c r="AQ78" s="90">
        <v>14.5</v>
      </c>
      <c r="AS78" s="90">
        <v>16</v>
      </c>
    </row>
    <row r="79" spans="1:45" x14ac:dyDescent="0.25">
      <c r="A79" s="90">
        <v>16.8</v>
      </c>
      <c r="C79" s="90">
        <v>15.4</v>
      </c>
      <c r="E79" s="90">
        <v>16.399999999999999</v>
      </c>
      <c r="G79" s="90">
        <v>14</v>
      </c>
      <c r="I79" s="90">
        <v>15.6</v>
      </c>
      <c r="K79" s="90">
        <v>16.5</v>
      </c>
      <c r="M79" s="90">
        <v>15.5</v>
      </c>
      <c r="O79" s="90">
        <v>15.2</v>
      </c>
      <c r="Q79" s="90">
        <v>14.9</v>
      </c>
      <c r="S79" s="90">
        <v>15.1</v>
      </c>
      <c r="U79" s="90">
        <v>16</v>
      </c>
      <c r="W79" s="90">
        <v>14.56</v>
      </c>
      <c r="Y79" s="90">
        <v>14.5</v>
      </c>
      <c r="AA79" s="90">
        <v>14.9</v>
      </c>
      <c r="AC79" s="90">
        <v>14.75</v>
      </c>
      <c r="AE79" s="90">
        <v>14</v>
      </c>
      <c r="AG79" s="90">
        <v>15.55</v>
      </c>
      <c r="AI79" s="90">
        <v>15</v>
      </c>
      <c r="AK79" s="90">
        <v>15.6</v>
      </c>
      <c r="AM79" s="90">
        <v>14</v>
      </c>
      <c r="AO79" s="90">
        <v>15.8</v>
      </c>
      <c r="AQ79" s="90">
        <v>14.3</v>
      </c>
      <c r="AS79" s="90">
        <v>14.7</v>
      </c>
    </row>
    <row r="80" spans="1:45" x14ac:dyDescent="0.25">
      <c r="A80" s="90">
        <v>16.8</v>
      </c>
      <c r="C80" s="90">
        <v>16.8</v>
      </c>
      <c r="E80" s="90">
        <v>16.5</v>
      </c>
      <c r="G80" s="90">
        <v>14.2</v>
      </c>
      <c r="I80" s="90">
        <v>14.9</v>
      </c>
      <c r="K80" s="90">
        <v>16.7</v>
      </c>
      <c r="M80" s="90">
        <v>15</v>
      </c>
      <c r="O80" s="90">
        <v>14.4</v>
      </c>
      <c r="Q80" s="90">
        <v>14.8</v>
      </c>
      <c r="S80" s="90">
        <v>15.1</v>
      </c>
      <c r="U80" s="90">
        <v>15.9</v>
      </c>
      <c r="W80" s="90">
        <v>14.8</v>
      </c>
      <c r="Y80" s="90">
        <v>14</v>
      </c>
      <c r="AA80" s="90">
        <v>15.3</v>
      </c>
      <c r="AC80" s="90">
        <v>16.2</v>
      </c>
      <c r="AE80" s="90">
        <v>14.9</v>
      </c>
      <c r="AG80" s="90">
        <v>15.35</v>
      </c>
      <c r="AI80" s="90">
        <v>16.7</v>
      </c>
      <c r="AK80" s="90">
        <v>14.9</v>
      </c>
      <c r="AM80" s="90">
        <v>14.1</v>
      </c>
      <c r="AO80" s="90">
        <v>15.4</v>
      </c>
      <c r="AQ80" s="90">
        <v>15.4</v>
      </c>
      <c r="AS80" s="90">
        <v>14.8</v>
      </c>
    </row>
    <row r="81" spans="1:45" x14ac:dyDescent="0.25">
      <c r="A81" s="90">
        <v>16.8</v>
      </c>
      <c r="C81" s="90">
        <v>16</v>
      </c>
      <c r="E81" s="90">
        <v>17</v>
      </c>
      <c r="G81" s="90">
        <v>16.7</v>
      </c>
      <c r="I81" s="90">
        <v>14.8</v>
      </c>
      <c r="K81" s="90">
        <v>17</v>
      </c>
      <c r="M81" s="90">
        <v>15.2</v>
      </c>
      <c r="O81" s="90">
        <v>14.4</v>
      </c>
      <c r="Q81" s="90">
        <v>14.9</v>
      </c>
      <c r="S81" s="90">
        <v>15</v>
      </c>
      <c r="U81" s="90">
        <v>17.100000000000001</v>
      </c>
      <c r="W81" s="90">
        <v>14.4</v>
      </c>
      <c r="Y81" s="90">
        <v>15.08</v>
      </c>
      <c r="AA81" s="90">
        <v>14.9</v>
      </c>
      <c r="AC81" s="90">
        <v>16.2</v>
      </c>
      <c r="AE81" s="90">
        <v>14.7</v>
      </c>
      <c r="AG81" s="90">
        <v>15.6</v>
      </c>
      <c r="AI81" s="90">
        <v>15.5</v>
      </c>
      <c r="AK81" s="90">
        <v>15.5</v>
      </c>
      <c r="AM81" s="90">
        <v>14.9</v>
      </c>
      <c r="AO81" s="90">
        <v>15.5</v>
      </c>
      <c r="AQ81" s="90">
        <v>16.3</v>
      </c>
      <c r="AS81" s="90">
        <v>14.8</v>
      </c>
    </row>
    <row r="82" spans="1:45" x14ac:dyDescent="0.25">
      <c r="A82" s="90">
        <v>16.399999999999999</v>
      </c>
      <c r="C82" s="90">
        <v>14.6</v>
      </c>
      <c r="E82" s="90">
        <v>16.399999999999999</v>
      </c>
      <c r="G82" s="90">
        <v>17.2</v>
      </c>
      <c r="I82" s="90">
        <v>14.9</v>
      </c>
      <c r="K82" s="90">
        <v>16.7</v>
      </c>
      <c r="M82" s="90">
        <v>15.6</v>
      </c>
      <c r="O82" s="90">
        <v>15.2</v>
      </c>
      <c r="Q82" s="90">
        <v>14.8</v>
      </c>
      <c r="S82" s="90">
        <v>15</v>
      </c>
      <c r="U82" s="90">
        <v>16.7</v>
      </c>
      <c r="W82" s="90">
        <v>14.4</v>
      </c>
      <c r="Y82" s="90">
        <v>14.8</v>
      </c>
      <c r="AA82" s="90">
        <v>15</v>
      </c>
      <c r="AC82" s="90">
        <v>14.3</v>
      </c>
      <c r="AE82" s="90">
        <v>15.5</v>
      </c>
      <c r="AG82" s="90">
        <v>15.8</v>
      </c>
      <c r="AI82" s="90">
        <v>15.7</v>
      </c>
      <c r="AK82" s="90">
        <v>15.5</v>
      </c>
      <c r="AM82" s="90">
        <v>15</v>
      </c>
      <c r="AO82" s="90">
        <v>15.5</v>
      </c>
      <c r="AQ82" s="90">
        <v>16.100000000000001</v>
      </c>
      <c r="AS82" s="90">
        <v>16</v>
      </c>
    </row>
    <row r="83" spans="1:45" x14ac:dyDescent="0.25">
      <c r="A83" s="90">
        <v>14.8</v>
      </c>
      <c r="C83" s="90">
        <v>16.3</v>
      </c>
      <c r="E83" s="90">
        <v>16.7</v>
      </c>
      <c r="G83" s="90">
        <v>17</v>
      </c>
      <c r="I83" s="90">
        <v>14.6</v>
      </c>
      <c r="K83" s="90">
        <v>16.600000000000001</v>
      </c>
      <c r="M83" s="90">
        <v>15.4</v>
      </c>
      <c r="O83" s="90">
        <v>14.6</v>
      </c>
      <c r="Q83" s="90">
        <v>14.9</v>
      </c>
      <c r="S83" s="90">
        <v>15.1</v>
      </c>
      <c r="U83" s="90">
        <v>15.9</v>
      </c>
      <c r="W83" s="90">
        <v>15.9</v>
      </c>
      <c r="Y83" s="90">
        <v>13.3</v>
      </c>
      <c r="AA83" s="90">
        <v>14.8</v>
      </c>
      <c r="AC83" s="90">
        <v>14.6</v>
      </c>
      <c r="AE83" s="90">
        <v>14.75</v>
      </c>
      <c r="AG83" s="90">
        <v>15.4</v>
      </c>
      <c r="AI83" s="90">
        <v>16.399999999999999</v>
      </c>
      <c r="AK83" s="90">
        <v>15.1</v>
      </c>
      <c r="AM83" s="90">
        <v>15.7</v>
      </c>
      <c r="AO83" s="90">
        <v>15.4</v>
      </c>
      <c r="AQ83" s="90">
        <v>15.2</v>
      </c>
      <c r="AS83" s="90">
        <v>14.8</v>
      </c>
    </row>
    <row r="84" spans="1:45" x14ac:dyDescent="0.25">
      <c r="A84" s="90">
        <v>14.2</v>
      </c>
      <c r="C84" s="90">
        <v>16.3</v>
      </c>
      <c r="E84" s="90">
        <v>16.899999999999999</v>
      </c>
      <c r="G84" s="90">
        <v>15</v>
      </c>
      <c r="I84" s="90">
        <v>14.8</v>
      </c>
      <c r="K84" s="90">
        <v>16.2</v>
      </c>
      <c r="M84" s="90">
        <v>15.1</v>
      </c>
      <c r="O84" s="90">
        <v>14.7</v>
      </c>
      <c r="Q84" s="90">
        <v>15</v>
      </c>
      <c r="S84" s="90">
        <v>15.2</v>
      </c>
      <c r="U84" s="90">
        <v>15.3</v>
      </c>
      <c r="W84" s="90">
        <v>14</v>
      </c>
      <c r="Y84" s="90">
        <v>14.8</v>
      </c>
      <c r="AA84" s="90">
        <v>14.1</v>
      </c>
      <c r="AC84" s="90">
        <v>15.6</v>
      </c>
      <c r="AE84" s="90">
        <v>14.8</v>
      </c>
      <c r="AG84" s="90">
        <v>15.4</v>
      </c>
      <c r="AI84" s="90">
        <v>15.7</v>
      </c>
      <c r="AK84" s="90">
        <v>14.9</v>
      </c>
      <c r="AM84" s="90">
        <v>14</v>
      </c>
      <c r="AO84" s="90">
        <v>15.3</v>
      </c>
      <c r="AQ84" s="90">
        <v>15.3</v>
      </c>
      <c r="AS84" s="90">
        <v>16</v>
      </c>
    </row>
    <row r="85" spans="1:45" x14ac:dyDescent="0.25">
      <c r="A85" s="90">
        <v>15.8</v>
      </c>
      <c r="C85" s="90">
        <v>16.2</v>
      </c>
      <c r="E85" s="90">
        <v>16.7</v>
      </c>
      <c r="G85" s="90">
        <v>16.3</v>
      </c>
      <c r="I85" s="90">
        <v>14.5</v>
      </c>
      <c r="K85" s="90">
        <v>16.7</v>
      </c>
      <c r="M85" s="90">
        <v>15</v>
      </c>
      <c r="O85" s="90">
        <v>14.8</v>
      </c>
      <c r="Q85" s="90">
        <v>15.1</v>
      </c>
      <c r="S85" s="90">
        <v>15</v>
      </c>
      <c r="U85" s="90">
        <v>15.5</v>
      </c>
      <c r="W85" s="90">
        <v>14.8</v>
      </c>
      <c r="Y85" s="90">
        <v>15.4</v>
      </c>
      <c r="AA85" s="90">
        <v>15.2</v>
      </c>
      <c r="AC85" s="90">
        <v>16.399999999999999</v>
      </c>
      <c r="AE85" s="90">
        <v>15.4</v>
      </c>
      <c r="AG85" s="90">
        <v>15.5</v>
      </c>
      <c r="AI85" s="90">
        <v>14.6</v>
      </c>
      <c r="AK85" s="90">
        <v>12.8</v>
      </c>
      <c r="AM85" s="90">
        <v>15.1</v>
      </c>
      <c r="AO85" s="90">
        <v>15.2</v>
      </c>
      <c r="AQ85" s="90">
        <v>16.7</v>
      </c>
      <c r="AS85" s="90">
        <v>14.6</v>
      </c>
    </row>
    <row r="86" spans="1:45" x14ac:dyDescent="0.25">
      <c r="A86" s="90">
        <v>15.9</v>
      </c>
      <c r="C86" s="90">
        <v>16.2</v>
      </c>
      <c r="E86" s="90">
        <v>16.399999999999999</v>
      </c>
      <c r="G86" s="90">
        <v>14.3</v>
      </c>
      <c r="I86" s="90">
        <v>14.7</v>
      </c>
      <c r="K86" s="90">
        <v>16.399999999999999</v>
      </c>
      <c r="M86" s="90">
        <v>15.1</v>
      </c>
      <c r="O86" s="90">
        <v>15.2</v>
      </c>
      <c r="Q86" s="90">
        <v>15.2</v>
      </c>
      <c r="S86" s="90">
        <v>15</v>
      </c>
      <c r="U86" s="90">
        <v>16.2</v>
      </c>
      <c r="W86" s="90">
        <v>14.5</v>
      </c>
      <c r="Y86" s="90">
        <v>14.2</v>
      </c>
      <c r="AA86" s="90">
        <v>14.8</v>
      </c>
      <c r="AC86" s="90">
        <v>16.8</v>
      </c>
      <c r="AE86" s="90">
        <v>14.8</v>
      </c>
      <c r="AG86" s="90">
        <v>15.5</v>
      </c>
      <c r="AI86" s="90">
        <v>14.6</v>
      </c>
      <c r="AK86" s="90">
        <v>14.1</v>
      </c>
      <c r="AM86" s="90">
        <v>15.2</v>
      </c>
      <c r="AO86" s="90">
        <v>14.9</v>
      </c>
      <c r="AQ86" s="90">
        <v>15</v>
      </c>
      <c r="AS86" s="90">
        <v>15.1</v>
      </c>
    </row>
    <row r="87" spans="1:45" x14ac:dyDescent="0.25">
      <c r="A87" s="90">
        <v>15.9</v>
      </c>
      <c r="C87" s="90">
        <v>14.5</v>
      </c>
      <c r="E87" s="90">
        <v>16.7</v>
      </c>
      <c r="G87" s="90">
        <v>13.7</v>
      </c>
      <c r="I87" s="90">
        <v>14.8</v>
      </c>
      <c r="K87" s="90">
        <v>16.5</v>
      </c>
      <c r="M87" s="90">
        <v>15.3</v>
      </c>
      <c r="O87" s="90">
        <v>14.6</v>
      </c>
      <c r="Q87" s="90">
        <v>15.3</v>
      </c>
      <c r="S87" s="90">
        <v>14.4</v>
      </c>
      <c r="U87" s="90">
        <v>17</v>
      </c>
      <c r="W87" s="90">
        <v>13.8</v>
      </c>
      <c r="Y87" s="90">
        <v>15</v>
      </c>
      <c r="AA87" s="90">
        <v>15.8</v>
      </c>
      <c r="AC87" s="90">
        <v>16</v>
      </c>
      <c r="AE87" s="90">
        <v>14.75</v>
      </c>
      <c r="AG87" s="90">
        <v>15.7</v>
      </c>
      <c r="AI87" s="90">
        <v>14.8</v>
      </c>
      <c r="AK87" s="90">
        <v>14.2</v>
      </c>
      <c r="AM87" s="90">
        <v>15.7</v>
      </c>
      <c r="AO87" s="90">
        <v>15.1</v>
      </c>
      <c r="AQ87" s="90">
        <v>15</v>
      </c>
      <c r="AS87" s="90">
        <v>16.5</v>
      </c>
    </row>
    <row r="88" spans="1:45" x14ac:dyDescent="0.25">
      <c r="A88" s="90">
        <v>16.3</v>
      </c>
      <c r="C88" s="90">
        <v>14.1</v>
      </c>
      <c r="E88" s="90">
        <v>16.8</v>
      </c>
      <c r="G88" s="90">
        <v>15.1</v>
      </c>
      <c r="I88" s="90">
        <v>15.1</v>
      </c>
      <c r="K88" s="90">
        <v>17.100000000000001</v>
      </c>
      <c r="M88" s="90">
        <v>15.4</v>
      </c>
      <c r="O88" s="90">
        <v>14.6</v>
      </c>
      <c r="Q88" s="90">
        <v>15.2</v>
      </c>
      <c r="S88" s="90">
        <v>14.4</v>
      </c>
      <c r="U88" s="90">
        <v>14.5</v>
      </c>
      <c r="W88" s="90">
        <v>13.5</v>
      </c>
      <c r="Y88" s="90">
        <v>12.6</v>
      </c>
      <c r="AA88" s="90">
        <v>15.3</v>
      </c>
      <c r="AC88" s="90">
        <v>16.2</v>
      </c>
      <c r="AE88" s="90">
        <v>15.7</v>
      </c>
      <c r="AG88" s="90">
        <v>15.6</v>
      </c>
      <c r="AI88" s="90">
        <v>14.8</v>
      </c>
      <c r="AK88" s="90">
        <v>14.8</v>
      </c>
      <c r="AM88" s="90">
        <v>15.3</v>
      </c>
      <c r="AO88" s="90">
        <v>15.2</v>
      </c>
      <c r="AQ88" s="90">
        <v>14.3</v>
      </c>
      <c r="AS88" s="90">
        <v>15.5</v>
      </c>
    </row>
    <row r="89" spans="1:45" x14ac:dyDescent="0.25">
      <c r="A89" s="90">
        <v>16.3</v>
      </c>
      <c r="C89" s="90">
        <v>14.7</v>
      </c>
      <c r="E89" s="90">
        <v>16.899999999999999</v>
      </c>
      <c r="G89" s="90">
        <v>15.5</v>
      </c>
      <c r="I89" s="90">
        <v>14.6</v>
      </c>
      <c r="K89" s="90">
        <v>16.7</v>
      </c>
      <c r="M89" s="90">
        <v>15.4</v>
      </c>
      <c r="O89" s="90">
        <v>15.5</v>
      </c>
      <c r="Q89" s="90">
        <v>15.1</v>
      </c>
      <c r="S89" s="90">
        <v>15.1</v>
      </c>
      <c r="U89" s="90">
        <v>14.2</v>
      </c>
      <c r="W89" s="90">
        <v>14.3</v>
      </c>
      <c r="Y89" s="90">
        <v>13.5</v>
      </c>
      <c r="AA89" s="90">
        <v>15.5</v>
      </c>
      <c r="AC89" s="90">
        <v>16.899999999999999</v>
      </c>
      <c r="AE89" s="90">
        <v>15.7</v>
      </c>
      <c r="AG89" s="90">
        <v>15.6</v>
      </c>
      <c r="AI89" s="90">
        <v>14.7</v>
      </c>
      <c r="AK89" s="90">
        <v>15.4</v>
      </c>
      <c r="AM89" s="90">
        <v>15.55</v>
      </c>
      <c r="AO89" s="90">
        <v>15.1</v>
      </c>
      <c r="AQ89" s="90">
        <v>14.3</v>
      </c>
      <c r="AS89" s="90">
        <v>14.4</v>
      </c>
    </row>
    <row r="90" spans="1:45" x14ac:dyDescent="0.25">
      <c r="A90" s="90">
        <v>16.3</v>
      </c>
      <c r="C90" s="90">
        <v>15</v>
      </c>
      <c r="E90" s="90">
        <v>16.899999999999999</v>
      </c>
      <c r="G90" s="90">
        <v>15.3</v>
      </c>
      <c r="I90" s="90">
        <v>14.3</v>
      </c>
      <c r="K90" s="90">
        <v>16.600000000000001</v>
      </c>
      <c r="M90" s="90">
        <v>14.8</v>
      </c>
      <c r="O90" s="90">
        <v>14.6</v>
      </c>
      <c r="Q90" s="90">
        <v>15.2</v>
      </c>
      <c r="S90" s="90">
        <v>14.8</v>
      </c>
      <c r="U90" s="90">
        <v>15</v>
      </c>
      <c r="W90" s="90">
        <v>14.3</v>
      </c>
      <c r="Y90" s="90">
        <v>14.8</v>
      </c>
      <c r="AA90" s="90">
        <v>16.600000000000001</v>
      </c>
      <c r="AC90" s="90">
        <v>15.9</v>
      </c>
      <c r="AE90" s="90">
        <v>15.4</v>
      </c>
      <c r="AG90" s="90">
        <v>15.5</v>
      </c>
      <c r="AI90" s="90">
        <v>15</v>
      </c>
      <c r="AK90" s="90">
        <v>15.4</v>
      </c>
      <c r="AM90" s="90">
        <v>14.25</v>
      </c>
      <c r="AO90" s="90">
        <v>15.2</v>
      </c>
      <c r="AQ90" s="90">
        <v>14.1</v>
      </c>
      <c r="AS90" s="90">
        <v>15</v>
      </c>
    </row>
    <row r="91" spans="1:45" x14ac:dyDescent="0.25">
      <c r="A91" s="90">
        <v>17</v>
      </c>
      <c r="C91" s="90">
        <v>15.1</v>
      </c>
      <c r="E91" s="90">
        <v>17.600000000000001</v>
      </c>
      <c r="G91" s="90">
        <v>15.8</v>
      </c>
      <c r="I91" s="90">
        <v>15</v>
      </c>
      <c r="K91" s="90">
        <v>16.399999999999999</v>
      </c>
      <c r="M91" s="90">
        <v>15.3</v>
      </c>
      <c r="O91" s="90">
        <v>14.2</v>
      </c>
      <c r="Q91" s="90">
        <v>15</v>
      </c>
      <c r="S91" s="90">
        <v>14.9</v>
      </c>
      <c r="U91" s="90">
        <v>15.3</v>
      </c>
      <c r="W91" s="90">
        <v>14.4</v>
      </c>
      <c r="Y91" s="90">
        <v>14.6</v>
      </c>
      <c r="AA91" s="90">
        <v>15.2</v>
      </c>
      <c r="AC91" s="90">
        <v>15.8</v>
      </c>
      <c r="AE91" s="90">
        <v>15.4</v>
      </c>
      <c r="AG91" s="90">
        <v>15.6</v>
      </c>
      <c r="AI91" s="90">
        <v>14.7</v>
      </c>
      <c r="AK91" s="90">
        <v>15</v>
      </c>
      <c r="AM91" s="90">
        <v>14.6</v>
      </c>
      <c r="AO91" s="90">
        <v>14.9</v>
      </c>
      <c r="AQ91" s="90">
        <v>14.5</v>
      </c>
      <c r="AS91" s="90">
        <v>14.9</v>
      </c>
    </row>
    <row r="92" spans="1:45" x14ac:dyDescent="0.25">
      <c r="A92" s="90">
        <v>16.399999999999999</v>
      </c>
      <c r="C92" s="90">
        <v>13.7</v>
      </c>
      <c r="E92" s="90">
        <v>14.25</v>
      </c>
      <c r="G92" s="90">
        <v>15.8</v>
      </c>
      <c r="I92" s="90">
        <v>15.5</v>
      </c>
      <c r="K92" s="90">
        <v>16.399999999999999</v>
      </c>
      <c r="M92" s="90">
        <v>15</v>
      </c>
      <c r="O92" s="90">
        <v>15</v>
      </c>
      <c r="Q92" s="90">
        <v>15.3</v>
      </c>
      <c r="S92" s="90">
        <v>15.9</v>
      </c>
      <c r="U92" s="90">
        <v>14.1</v>
      </c>
      <c r="W92" s="90">
        <v>14.5</v>
      </c>
      <c r="Y92" s="90">
        <v>15</v>
      </c>
      <c r="AA92" s="90">
        <v>14</v>
      </c>
      <c r="AC92" s="90">
        <v>15.7</v>
      </c>
      <c r="AE92" s="90">
        <v>15.7</v>
      </c>
      <c r="AG92" s="90">
        <v>15.6</v>
      </c>
      <c r="AI92" s="90">
        <v>15.5</v>
      </c>
      <c r="AK92" s="90">
        <v>15.1</v>
      </c>
      <c r="AM92" s="90">
        <v>15.5</v>
      </c>
      <c r="AO92" s="90">
        <v>15.5</v>
      </c>
      <c r="AQ92" s="90">
        <v>15.5</v>
      </c>
      <c r="AS92" s="90">
        <v>14.8</v>
      </c>
    </row>
    <row r="93" spans="1:45" x14ac:dyDescent="0.25">
      <c r="A93" s="90">
        <v>16.2</v>
      </c>
      <c r="C93" s="90">
        <v>16.7</v>
      </c>
      <c r="E93" s="90">
        <v>14.5</v>
      </c>
      <c r="G93" s="90">
        <v>15.2</v>
      </c>
      <c r="I93" s="90">
        <v>14.7</v>
      </c>
      <c r="K93" s="90">
        <v>17.3</v>
      </c>
      <c r="M93" s="90">
        <v>14.8</v>
      </c>
      <c r="O93" s="90">
        <v>15.7</v>
      </c>
      <c r="Q93" s="90">
        <v>15.2</v>
      </c>
      <c r="S93" s="90">
        <v>15.2</v>
      </c>
      <c r="U93" s="90">
        <v>14.5</v>
      </c>
      <c r="W93" s="90">
        <v>14.3</v>
      </c>
      <c r="Y93" s="90">
        <v>15.5</v>
      </c>
      <c r="AA93" s="90">
        <v>14.5</v>
      </c>
      <c r="AC93" s="90">
        <v>15.3</v>
      </c>
      <c r="AE93" s="90">
        <v>15.4</v>
      </c>
      <c r="AG93" s="90">
        <v>15.6</v>
      </c>
      <c r="AI93" s="90">
        <v>14.8</v>
      </c>
      <c r="AK93" s="90">
        <v>14.9</v>
      </c>
      <c r="AM93" s="90">
        <v>14.2</v>
      </c>
      <c r="AO93" s="90">
        <v>16.3</v>
      </c>
      <c r="AQ93" s="90">
        <v>14.2</v>
      </c>
      <c r="AS93" s="90">
        <v>17</v>
      </c>
    </row>
    <row r="94" spans="1:45" x14ac:dyDescent="0.25">
      <c r="A94" s="90">
        <v>20.9</v>
      </c>
      <c r="C94" s="90">
        <v>15.4</v>
      </c>
      <c r="E94" s="90">
        <v>15.5</v>
      </c>
      <c r="G94" s="90">
        <v>15.4</v>
      </c>
      <c r="I94" s="90">
        <v>14.7</v>
      </c>
      <c r="K94" s="90">
        <v>17.100000000000001</v>
      </c>
      <c r="M94" s="90">
        <v>14.8</v>
      </c>
      <c r="O94" s="90">
        <v>14.5</v>
      </c>
      <c r="Q94" s="90">
        <v>15.3</v>
      </c>
      <c r="S94" s="90">
        <v>15</v>
      </c>
      <c r="U94" s="90">
        <v>15</v>
      </c>
      <c r="W94" s="90">
        <v>14.4</v>
      </c>
      <c r="Y94" s="90">
        <v>15</v>
      </c>
      <c r="AA94" s="90">
        <v>14.2</v>
      </c>
      <c r="AC94" s="90">
        <v>15.2</v>
      </c>
      <c r="AE94" s="90">
        <v>15.5</v>
      </c>
      <c r="AG94" s="90">
        <v>15.5</v>
      </c>
      <c r="AI94" s="90">
        <v>14.9</v>
      </c>
      <c r="AK94" s="90">
        <v>14.9</v>
      </c>
      <c r="AM94" s="90">
        <v>14.15</v>
      </c>
      <c r="AO94" s="90">
        <v>15.7</v>
      </c>
      <c r="AQ94" s="90">
        <v>14.3</v>
      </c>
      <c r="AS94" s="90">
        <v>16.600000000000001</v>
      </c>
    </row>
    <row r="98" spans="1:3" x14ac:dyDescent="0.25">
      <c r="A98" s="90" t="s">
        <v>1542</v>
      </c>
    </row>
    <row r="99" spans="1:3" x14ac:dyDescent="0.25">
      <c r="A99" s="90">
        <v>1</v>
      </c>
      <c r="C99" s="90">
        <v>2</v>
      </c>
    </row>
  </sheetData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2:L32"/>
  <sheetViews>
    <sheetView topLeftCell="A4" workbookViewId="0">
      <pane xSplit="3" topLeftCell="E1" activePane="topRight" state="frozen"/>
      <selection pane="topRight" activeCell="A30" sqref="A30:XFD30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40</v>
      </c>
      <c r="B4" s="15" t="s">
        <v>1381</v>
      </c>
      <c r="C4" s="26" t="s">
        <v>15</v>
      </c>
      <c r="D4" s="65" t="s">
        <v>1444</v>
      </c>
      <c r="E4" s="39" t="s">
        <v>1455</v>
      </c>
      <c r="F4" s="16">
        <v>140000</v>
      </c>
      <c r="G4" s="16">
        <v>1000000</v>
      </c>
      <c r="H4" s="17">
        <f>360000+110000+26000+10000+60000+80000+60000+140000+140000</f>
        <v>986000</v>
      </c>
      <c r="I4" s="16">
        <f t="shared" ref="I4:I6" si="0">G4-H4</f>
        <v>14000</v>
      </c>
      <c r="J4" s="16" t="s">
        <v>16</v>
      </c>
      <c r="K4" s="18"/>
      <c r="L4" s="19"/>
    </row>
    <row r="5" spans="1:12" ht="15.75" x14ac:dyDescent="0.25">
      <c r="A5" s="20" t="s">
        <v>228</v>
      </c>
      <c r="B5" s="21" t="s">
        <v>1208</v>
      </c>
      <c r="C5" s="28" t="s">
        <v>15</v>
      </c>
      <c r="D5" s="66" t="s">
        <v>52</v>
      </c>
      <c r="E5" s="40" t="s">
        <v>722</v>
      </c>
      <c r="F5" s="22">
        <v>103</v>
      </c>
      <c r="G5" s="22">
        <v>100</v>
      </c>
      <c r="H5" s="23">
        <v>103</v>
      </c>
      <c r="I5" s="22">
        <f t="shared" si="0"/>
        <v>-3</v>
      </c>
      <c r="J5" s="22" t="s">
        <v>23</v>
      </c>
      <c r="K5" s="24"/>
      <c r="L5" s="25"/>
    </row>
    <row r="6" spans="1:12" ht="15.75" x14ac:dyDescent="0.25">
      <c r="A6" s="20" t="s">
        <v>21</v>
      </c>
      <c r="B6" s="21" t="s">
        <v>1496</v>
      </c>
      <c r="C6" s="28" t="s">
        <v>34</v>
      </c>
      <c r="D6" s="66" t="s">
        <v>18</v>
      </c>
      <c r="E6" s="40" t="s">
        <v>1156</v>
      </c>
      <c r="F6" s="22">
        <f>70000+46000</f>
        <v>116000</v>
      </c>
      <c r="G6" s="22">
        <v>150000</v>
      </c>
      <c r="H6" s="23">
        <f>6800+116000</f>
        <v>122800</v>
      </c>
      <c r="I6" s="22">
        <f t="shared" si="0"/>
        <v>27200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983</v>
      </c>
      <c r="C7" s="28" t="s">
        <v>493</v>
      </c>
      <c r="D7" s="29" t="s">
        <v>283</v>
      </c>
      <c r="E7" s="40" t="s">
        <v>984</v>
      </c>
      <c r="F7" s="22">
        <v>646.5</v>
      </c>
      <c r="G7" s="22">
        <v>600</v>
      </c>
      <c r="H7" s="23">
        <v>646.5</v>
      </c>
      <c r="I7" s="22">
        <f>G7-H7</f>
        <v>-46.5</v>
      </c>
      <c r="J7" s="22" t="s">
        <v>24</v>
      </c>
      <c r="K7" s="24"/>
      <c r="L7" s="25"/>
    </row>
    <row r="8" spans="1:12" ht="15.75" x14ac:dyDescent="0.25">
      <c r="A8" s="20" t="s">
        <v>21</v>
      </c>
      <c r="B8" s="21" t="s">
        <v>1358</v>
      </c>
      <c r="C8" s="28" t="s">
        <v>41</v>
      </c>
      <c r="D8" s="29" t="s">
        <v>1502</v>
      </c>
      <c r="E8" s="40" t="s">
        <v>1503</v>
      </c>
      <c r="F8" s="22">
        <f>8500+11000</f>
        <v>19500</v>
      </c>
      <c r="G8" s="22">
        <v>100000</v>
      </c>
      <c r="H8" s="23">
        <v>19500</v>
      </c>
      <c r="I8" s="22">
        <f>G8-H8</f>
        <v>80500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1497</v>
      </c>
      <c r="C9" s="28" t="s">
        <v>870</v>
      </c>
      <c r="D9" s="66" t="s">
        <v>18</v>
      </c>
      <c r="E9" s="40" t="s">
        <v>646</v>
      </c>
      <c r="F9" s="22">
        <f>1775+1030</f>
        <v>2805</v>
      </c>
      <c r="G9" s="22">
        <v>5000</v>
      </c>
      <c r="H9" s="23">
        <f>2725+2805</f>
        <v>5530</v>
      </c>
      <c r="I9" s="22">
        <f>G9-H9</f>
        <v>-530</v>
      </c>
      <c r="J9" s="22" t="s">
        <v>24</v>
      </c>
      <c r="K9" s="24"/>
      <c r="L9" s="25"/>
    </row>
    <row r="10" spans="1:12" ht="15.75" x14ac:dyDescent="0.25">
      <c r="A10" s="20" t="s">
        <v>30</v>
      </c>
      <c r="B10" s="21" t="s">
        <v>1490</v>
      </c>
      <c r="C10" s="28" t="s">
        <v>1491</v>
      </c>
      <c r="D10" s="66" t="s">
        <v>1271</v>
      </c>
      <c r="E10" s="40" t="s">
        <v>1492</v>
      </c>
      <c r="F10" s="22">
        <f>18000+13000</f>
        <v>31000</v>
      </c>
      <c r="G10" s="22">
        <v>88000</v>
      </c>
      <c r="H10" s="23">
        <f>40500+31000</f>
        <v>71500</v>
      </c>
      <c r="I10" s="22">
        <f>G10-H10</f>
        <v>16500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1429</v>
      </c>
      <c r="C11" s="28" t="s">
        <v>15</v>
      </c>
      <c r="D11" s="66" t="s">
        <v>73</v>
      </c>
      <c r="E11" s="40" t="s">
        <v>74</v>
      </c>
      <c r="F11" s="22">
        <f>21000+0</f>
        <v>21000</v>
      </c>
      <c r="G11" s="22">
        <v>50000</v>
      </c>
      <c r="H11" s="23">
        <f>7750+8943+11000+21000</f>
        <v>48693</v>
      </c>
      <c r="I11" s="22">
        <f t="shared" ref="I11:I30" si="1">G11-H11</f>
        <v>1307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1424</v>
      </c>
      <c r="C12" s="28" t="s">
        <v>210</v>
      </c>
      <c r="D12" s="66" t="s">
        <v>18</v>
      </c>
      <c r="E12" s="40" t="s">
        <v>427</v>
      </c>
      <c r="F12" s="22">
        <f>45000+7500+72000</f>
        <v>124500</v>
      </c>
      <c r="G12" s="22">
        <v>300000</v>
      </c>
      <c r="H12" s="23">
        <v>325200</v>
      </c>
      <c r="I12" s="22">
        <f>G12-H12</f>
        <v>-25200</v>
      </c>
      <c r="J12" s="22" t="s">
        <v>24</v>
      </c>
      <c r="K12" s="24"/>
      <c r="L12" s="25"/>
    </row>
    <row r="13" spans="1:12" ht="15.75" x14ac:dyDescent="0.25">
      <c r="A13" s="20" t="s">
        <v>40</v>
      </c>
      <c r="B13" s="21" t="s">
        <v>1456</v>
      </c>
      <c r="C13" s="28" t="s">
        <v>62</v>
      </c>
      <c r="D13" s="66" t="s">
        <v>54</v>
      </c>
      <c r="E13" s="40" t="s">
        <v>1267</v>
      </c>
      <c r="F13" s="22">
        <v>25000</v>
      </c>
      <c r="G13" s="42">
        <v>300000</v>
      </c>
      <c r="H13" s="23">
        <f>14000+31000+68000+25000</f>
        <v>138000</v>
      </c>
      <c r="I13" s="22">
        <f t="shared" ref="I13" si="2">G13-H13</f>
        <v>162000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1504</v>
      </c>
      <c r="C14" s="28" t="s">
        <v>15</v>
      </c>
      <c r="D14" s="66" t="s">
        <v>219</v>
      </c>
      <c r="E14" s="40" t="s">
        <v>1505</v>
      </c>
      <c r="F14" s="22">
        <f>3100+1200</f>
        <v>4300</v>
      </c>
      <c r="G14" s="22">
        <v>5000</v>
      </c>
      <c r="H14" s="23">
        <v>4300</v>
      </c>
      <c r="I14" s="22">
        <f t="shared" ref="I14:I19" si="3">G14-H14</f>
        <v>700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1506</v>
      </c>
      <c r="C15" s="28" t="s">
        <v>1507</v>
      </c>
      <c r="D15" s="66" t="s">
        <v>18</v>
      </c>
      <c r="E15" s="40" t="s">
        <v>1508</v>
      </c>
      <c r="F15" s="22">
        <v>4000</v>
      </c>
      <c r="G15" s="22">
        <v>5000</v>
      </c>
      <c r="H15" s="23">
        <v>4000</v>
      </c>
      <c r="I15" s="22">
        <f t="shared" si="3"/>
        <v>1000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1516</v>
      </c>
      <c r="C16" s="28" t="s">
        <v>15</v>
      </c>
      <c r="D16" s="66" t="s">
        <v>1510</v>
      </c>
      <c r="E16" s="40" t="s">
        <v>1114</v>
      </c>
      <c r="F16" s="22">
        <v>1600</v>
      </c>
      <c r="G16" s="22">
        <v>5000</v>
      </c>
      <c r="H16" s="23">
        <v>1600</v>
      </c>
      <c r="I16" s="22">
        <f t="shared" si="3"/>
        <v>3400</v>
      </c>
      <c r="J16" s="22" t="s">
        <v>16</v>
      </c>
      <c r="K16" s="24"/>
      <c r="L16" s="25"/>
    </row>
    <row r="17" spans="1:12" ht="15.75" x14ac:dyDescent="0.25">
      <c r="A17" s="20" t="s">
        <v>19</v>
      </c>
      <c r="B17" s="21" t="s">
        <v>1517</v>
      </c>
      <c r="C17" s="28" t="s">
        <v>1518</v>
      </c>
      <c r="D17" s="66" t="s">
        <v>1519</v>
      </c>
      <c r="E17" s="40" t="s">
        <v>216</v>
      </c>
      <c r="F17" s="22">
        <v>9415</v>
      </c>
      <c r="G17" s="22">
        <v>10000</v>
      </c>
      <c r="H17" s="23">
        <v>9415</v>
      </c>
      <c r="I17" s="22">
        <f t="shared" si="3"/>
        <v>585</v>
      </c>
      <c r="J17" s="22" t="s">
        <v>16</v>
      </c>
      <c r="K17" s="24"/>
      <c r="L17" s="25"/>
    </row>
    <row r="18" spans="1:12" ht="15.75" x14ac:dyDescent="0.25">
      <c r="A18" s="20" t="s">
        <v>22</v>
      </c>
      <c r="B18" s="21" t="s">
        <v>1520</v>
      </c>
      <c r="C18" s="28" t="s">
        <v>1521</v>
      </c>
      <c r="D18" s="66" t="s">
        <v>1522</v>
      </c>
      <c r="E18" s="40" t="s">
        <v>351</v>
      </c>
      <c r="F18" s="22">
        <v>136.1</v>
      </c>
      <c r="G18" s="22">
        <v>150</v>
      </c>
      <c r="H18" s="23">
        <v>136.1</v>
      </c>
      <c r="I18" s="22">
        <f t="shared" si="3"/>
        <v>13.900000000000006</v>
      </c>
      <c r="J18" s="22" t="s">
        <v>16</v>
      </c>
      <c r="K18" s="24"/>
      <c r="L18" s="25"/>
    </row>
    <row r="19" spans="1:12" ht="15.75" x14ac:dyDescent="0.25">
      <c r="A19" s="20" t="s">
        <v>14</v>
      </c>
      <c r="B19" s="21" t="s">
        <v>1523</v>
      </c>
      <c r="C19" s="28" t="s">
        <v>417</v>
      </c>
      <c r="D19" s="66" t="s">
        <v>18</v>
      </c>
      <c r="E19" s="40" t="s">
        <v>1524</v>
      </c>
      <c r="F19" s="22">
        <f>1500+3000</f>
        <v>4500</v>
      </c>
      <c r="G19" s="22">
        <v>10000</v>
      </c>
      <c r="H19" s="23">
        <v>4500</v>
      </c>
      <c r="I19" s="22">
        <f t="shared" si="3"/>
        <v>5500</v>
      </c>
      <c r="J19" s="22" t="s">
        <v>16</v>
      </c>
      <c r="K19" s="24"/>
      <c r="L19" s="25"/>
    </row>
    <row r="20" spans="1:12" ht="15.75" x14ac:dyDescent="0.25">
      <c r="A20" s="20" t="s">
        <v>17</v>
      </c>
      <c r="B20" s="21" t="s">
        <v>1457</v>
      </c>
      <c r="C20" s="28" t="s">
        <v>870</v>
      </c>
      <c r="D20" s="66" t="s">
        <v>18</v>
      </c>
      <c r="E20" s="40" t="s">
        <v>342</v>
      </c>
      <c r="F20" s="22">
        <v>133</v>
      </c>
      <c r="G20" s="42">
        <v>1500</v>
      </c>
      <c r="H20" s="23">
        <f>323+525+133</f>
        <v>981</v>
      </c>
      <c r="I20" s="22">
        <f t="shared" ref="I20" si="4">G20-H20</f>
        <v>519</v>
      </c>
      <c r="J20" s="22" t="s">
        <v>16</v>
      </c>
      <c r="K20" s="24"/>
      <c r="L20" s="25"/>
    </row>
    <row r="21" spans="1:12" ht="15.75" x14ac:dyDescent="0.25">
      <c r="A21" s="20" t="s">
        <v>14</v>
      </c>
      <c r="B21" s="21" t="s">
        <v>1509</v>
      </c>
      <c r="C21" s="28" t="s">
        <v>15</v>
      </c>
      <c r="D21" s="66" t="s">
        <v>1510</v>
      </c>
      <c r="E21" s="40" t="s">
        <v>1114</v>
      </c>
      <c r="F21" s="22">
        <v>5000</v>
      </c>
      <c r="G21" s="22">
        <v>5000</v>
      </c>
      <c r="H21" s="23">
        <v>5000</v>
      </c>
      <c r="I21" s="22">
        <f t="shared" ref="I21:I26" si="5">G21-H21</f>
        <v>0</v>
      </c>
      <c r="J21" s="22" t="s">
        <v>23</v>
      </c>
      <c r="K21" s="24"/>
      <c r="L21" s="25"/>
    </row>
    <row r="22" spans="1:12" ht="15.75" x14ac:dyDescent="0.25">
      <c r="A22" s="20" t="s">
        <v>19</v>
      </c>
      <c r="B22" s="21" t="s">
        <v>1425</v>
      </c>
      <c r="C22" s="28" t="s">
        <v>630</v>
      </c>
      <c r="D22" s="66" t="s">
        <v>1511</v>
      </c>
      <c r="E22" s="40" t="s">
        <v>399</v>
      </c>
      <c r="F22" s="22">
        <v>15000</v>
      </c>
      <c r="G22" s="22">
        <v>30000</v>
      </c>
      <c r="H22" s="23">
        <v>15000</v>
      </c>
      <c r="I22" s="22">
        <f t="shared" si="5"/>
        <v>15000</v>
      </c>
      <c r="J22" s="22" t="s">
        <v>16</v>
      </c>
      <c r="K22" s="24"/>
      <c r="L22" s="25"/>
    </row>
    <row r="23" spans="1:12" ht="15.75" x14ac:dyDescent="0.25">
      <c r="A23" s="20" t="s">
        <v>19</v>
      </c>
      <c r="B23" s="21" t="s">
        <v>815</v>
      </c>
      <c r="C23" s="28" t="s">
        <v>1512</v>
      </c>
      <c r="D23" s="66" t="s">
        <v>146</v>
      </c>
      <c r="E23" s="40" t="s">
        <v>55</v>
      </c>
      <c r="F23" s="22">
        <f>6200+5000</f>
        <v>11200</v>
      </c>
      <c r="G23" s="22">
        <v>10000</v>
      </c>
      <c r="H23" s="23">
        <v>112000</v>
      </c>
      <c r="I23" s="22">
        <f t="shared" si="5"/>
        <v>-102000</v>
      </c>
      <c r="J23" s="22" t="s">
        <v>24</v>
      </c>
      <c r="K23" s="24"/>
      <c r="L23" s="25"/>
    </row>
    <row r="24" spans="1:12" ht="15.75" x14ac:dyDescent="0.25">
      <c r="A24" s="20" t="s">
        <v>22</v>
      </c>
      <c r="B24" s="21" t="s">
        <v>1513</v>
      </c>
      <c r="C24" s="28" t="s">
        <v>506</v>
      </c>
      <c r="D24" s="66" t="s">
        <v>1514</v>
      </c>
      <c r="E24" s="40" t="s">
        <v>633</v>
      </c>
      <c r="F24" s="22">
        <v>70.5</v>
      </c>
      <c r="G24" s="22">
        <v>100</v>
      </c>
      <c r="H24" s="23">
        <v>70.5</v>
      </c>
      <c r="I24" s="22">
        <f t="shared" si="5"/>
        <v>29.5</v>
      </c>
      <c r="J24" s="22" t="s">
        <v>16</v>
      </c>
      <c r="K24" s="24"/>
      <c r="L24" s="25"/>
    </row>
    <row r="25" spans="1:12" ht="15.75" x14ac:dyDescent="0.25">
      <c r="A25" s="20" t="s">
        <v>14</v>
      </c>
      <c r="B25" s="21" t="s">
        <v>1515</v>
      </c>
      <c r="C25" s="28" t="s">
        <v>431</v>
      </c>
      <c r="D25" s="66" t="s">
        <v>432</v>
      </c>
      <c r="E25" s="40" t="s">
        <v>365</v>
      </c>
      <c r="F25" s="22">
        <v>7000</v>
      </c>
      <c r="G25" s="22">
        <v>7000</v>
      </c>
      <c r="H25" s="23">
        <v>7000</v>
      </c>
      <c r="I25" s="22">
        <f t="shared" si="5"/>
        <v>0</v>
      </c>
      <c r="J25" s="22" t="s">
        <v>23</v>
      </c>
      <c r="K25" s="24"/>
      <c r="L25" s="25"/>
    </row>
    <row r="26" spans="1:12" ht="15.75" x14ac:dyDescent="0.25">
      <c r="A26" s="20" t="s">
        <v>21</v>
      </c>
      <c r="B26" s="21" t="s">
        <v>100</v>
      </c>
      <c r="C26" s="28" t="s">
        <v>34</v>
      </c>
      <c r="D26" s="66" t="s">
        <v>18</v>
      </c>
      <c r="E26" s="40" t="s">
        <v>101</v>
      </c>
      <c r="F26" s="22">
        <v>22400</v>
      </c>
      <c r="G26" s="22">
        <v>150000</v>
      </c>
      <c r="H26" s="23">
        <v>22400</v>
      </c>
      <c r="I26" s="22">
        <f t="shared" si="5"/>
        <v>127600</v>
      </c>
      <c r="J26" s="22" t="s">
        <v>16</v>
      </c>
      <c r="K26" s="24"/>
      <c r="L26" s="25"/>
    </row>
    <row r="27" spans="1:12" ht="15.75" x14ac:dyDescent="0.25">
      <c r="A27" s="20" t="s">
        <v>14</v>
      </c>
      <c r="B27" s="21" t="s">
        <v>1484</v>
      </c>
      <c r="C27" s="28" t="s">
        <v>34</v>
      </c>
      <c r="D27" s="66" t="s">
        <v>18</v>
      </c>
      <c r="E27" s="40" t="s">
        <v>1485</v>
      </c>
      <c r="F27" s="22">
        <v>12040</v>
      </c>
      <c r="G27" s="42">
        <v>100000</v>
      </c>
      <c r="H27" s="23">
        <f>9000+12500+12040</f>
        <v>33540</v>
      </c>
      <c r="I27" s="22">
        <f t="shared" si="1"/>
        <v>66460</v>
      </c>
      <c r="J27" s="22" t="s">
        <v>16</v>
      </c>
      <c r="K27" s="24"/>
      <c r="L27" s="25"/>
    </row>
    <row r="28" spans="1:12" ht="15.75" x14ac:dyDescent="0.25">
      <c r="A28" s="20" t="s">
        <v>30</v>
      </c>
      <c r="B28" s="21" t="s">
        <v>1498</v>
      </c>
      <c r="C28" s="28" t="s">
        <v>1499</v>
      </c>
      <c r="D28" s="66" t="s">
        <v>1271</v>
      </c>
      <c r="E28" s="40" t="s">
        <v>1500</v>
      </c>
      <c r="F28" s="22">
        <f>18000+12000+26500</f>
        <v>56500</v>
      </c>
      <c r="G28" s="42">
        <v>85000</v>
      </c>
      <c r="H28" s="23">
        <f>6000+56500</f>
        <v>62500</v>
      </c>
      <c r="I28" s="22">
        <f t="shared" si="1"/>
        <v>22500</v>
      </c>
      <c r="J28" s="22" t="s">
        <v>16</v>
      </c>
      <c r="K28" s="24"/>
      <c r="L28" s="25"/>
    </row>
    <row r="29" spans="1:12" ht="15.75" x14ac:dyDescent="0.25">
      <c r="A29" s="20" t="s">
        <v>14</v>
      </c>
      <c r="B29" s="21" t="s">
        <v>1231</v>
      </c>
      <c r="C29" s="28" t="s">
        <v>1501</v>
      </c>
      <c r="D29" s="29" t="s">
        <v>42</v>
      </c>
      <c r="E29" s="40" t="s">
        <v>1141</v>
      </c>
      <c r="F29" s="22">
        <v>6500</v>
      </c>
      <c r="G29" s="42">
        <v>6000</v>
      </c>
      <c r="H29" s="23">
        <v>6500</v>
      </c>
      <c r="I29" s="22">
        <f>G29-H29</f>
        <v>-500</v>
      </c>
      <c r="J29" s="22" t="s">
        <v>24</v>
      </c>
      <c r="K29" s="24"/>
      <c r="L29" s="25"/>
    </row>
    <row r="30" spans="1:12" ht="15.75" x14ac:dyDescent="0.25">
      <c r="A30" s="20" t="s">
        <v>25</v>
      </c>
      <c r="B30" s="21" t="s">
        <v>1391</v>
      </c>
      <c r="C30" s="28" t="s">
        <v>1392</v>
      </c>
      <c r="D30" s="29" t="s">
        <v>551</v>
      </c>
      <c r="E30" s="40" t="s">
        <v>1393</v>
      </c>
      <c r="F30" s="22">
        <v>10350</v>
      </c>
      <c r="G30" s="22">
        <v>91584</v>
      </c>
      <c r="H30" s="23">
        <v>10350</v>
      </c>
      <c r="I30" s="22">
        <f t="shared" si="1"/>
        <v>81234</v>
      </c>
      <c r="J30" s="22" t="s">
        <v>16</v>
      </c>
      <c r="K30" s="24"/>
      <c r="L30" s="25"/>
    </row>
    <row r="31" spans="1:12" ht="16.5" thickBot="1" x14ac:dyDescent="0.3">
      <c r="A31" s="43"/>
      <c r="B31" s="44"/>
      <c r="C31" s="45"/>
      <c r="D31" s="67"/>
      <c r="E31" s="47"/>
      <c r="F31" s="48"/>
      <c r="G31" s="62"/>
      <c r="H31" s="49"/>
      <c r="I31" s="48"/>
      <c r="J31" s="48"/>
      <c r="K31" s="50"/>
      <c r="L31" s="51"/>
    </row>
    <row r="32" spans="1:12" ht="16.5" thickBot="1" x14ac:dyDescent="0.3">
      <c r="A32" s="71"/>
      <c r="B32" s="72"/>
      <c r="C32" s="73"/>
      <c r="D32" s="74"/>
      <c r="E32" s="75"/>
      <c r="F32" s="76"/>
      <c r="G32" s="76"/>
      <c r="H32" s="77"/>
      <c r="I32" s="76"/>
      <c r="J32" s="76"/>
      <c r="K32" s="78"/>
      <c r="L32" s="79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2:L19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1381</v>
      </c>
      <c r="C4" s="26" t="s">
        <v>15</v>
      </c>
      <c r="D4" s="65" t="s">
        <v>1099</v>
      </c>
      <c r="E4" s="39" t="s">
        <v>1525</v>
      </c>
      <c r="F4" s="16">
        <v>140000</v>
      </c>
      <c r="G4" s="16">
        <v>1000000</v>
      </c>
      <c r="H4" s="17">
        <v>624000</v>
      </c>
      <c r="I4" s="16">
        <f t="shared" ref="I4:I6" si="0">G4-H4</f>
        <v>376000</v>
      </c>
      <c r="J4" s="16" t="s">
        <v>16</v>
      </c>
      <c r="K4" s="18"/>
      <c r="L4" s="19"/>
    </row>
    <row r="5" spans="1:12" ht="15.75" x14ac:dyDescent="0.25">
      <c r="A5" s="20" t="s">
        <v>346</v>
      </c>
      <c r="B5" s="21" t="s">
        <v>1526</v>
      </c>
      <c r="C5" s="28" t="s">
        <v>1527</v>
      </c>
      <c r="D5" s="66" t="s">
        <v>1528</v>
      </c>
      <c r="E5" s="40" t="s">
        <v>46</v>
      </c>
      <c r="F5" s="22">
        <v>103.9</v>
      </c>
      <c r="G5" s="22">
        <v>100</v>
      </c>
      <c r="H5" s="23">
        <v>103.9</v>
      </c>
      <c r="I5" s="22">
        <f t="shared" si="0"/>
        <v>-3.9000000000000057</v>
      </c>
      <c r="J5" s="22" t="s">
        <v>23</v>
      </c>
      <c r="K5" s="24"/>
      <c r="L5" s="25"/>
    </row>
    <row r="6" spans="1:12" ht="15.75" x14ac:dyDescent="0.25">
      <c r="A6" s="20" t="s">
        <v>22</v>
      </c>
      <c r="B6" s="21" t="s">
        <v>1529</v>
      </c>
      <c r="C6" s="28" t="s">
        <v>1471</v>
      </c>
      <c r="D6" s="66" t="s">
        <v>1530</v>
      </c>
      <c r="E6" s="40" t="s">
        <v>351</v>
      </c>
      <c r="F6" s="22">
        <v>110.5</v>
      </c>
      <c r="G6" s="22">
        <v>100</v>
      </c>
      <c r="H6" s="23">
        <v>110.5</v>
      </c>
      <c r="I6" s="22">
        <f t="shared" si="0"/>
        <v>-10.5</v>
      </c>
      <c r="J6" s="22" t="s">
        <v>24</v>
      </c>
      <c r="K6" s="24"/>
      <c r="L6" s="25"/>
    </row>
    <row r="7" spans="1:12" ht="15.75" x14ac:dyDescent="0.25">
      <c r="A7" s="20" t="s">
        <v>22</v>
      </c>
      <c r="B7" s="21" t="s">
        <v>1513</v>
      </c>
      <c r="C7" s="28" t="s">
        <v>506</v>
      </c>
      <c r="D7" s="29" t="s">
        <v>1514</v>
      </c>
      <c r="E7" s="40" t="s">
        <v>633</v>
      </c>
      <c r="F7" s="22">
        <v>40.799999999999997</v>
      </c>
      <c r="G7" s="22">
        <v>100</v>
      </c>
      <c r="H7" s="23">
        <v>111.3</v>
      </c>
      <c r="I7" s="22">
        <f>G7-H7</f>
        <v>-11.299999999999997</v>
      </c>
      <c r="J7" s="22" t="s">
        <v>24</v>
      </c>
      <c r="K7" s="24"/>
      <c r="L7" s="25"/>
    </row>
    <row r="8" spans="1:12" ht="15.75" x14ac:dyDescent="0.25">
      <c r="A8" s="20" t="s">
        <v>19</v>
      </c>
      <c r="B8" s="21" t="s">
        <v>1425</v>
      </c>
      <c r="C8" s="28" t="s">
        <v>630</v>
      </c>
      <c r="D8" s="29" t="s">
        <v>146</v>
      </c>
      <c r="E8" s="40" t="s">
        <v>399</v>
      </c>
      <c r="F8" s="22">
        <v>8440</v>
      </c>
      <c r="G8" s="22">
        <v>30000</v>
      </c>
      <c r="H8" s="23">
        <f>15000+8440</f>
        <v>23440</v>
      </c>
      <c r="I8" s="22">
        <f>G8-H8</f>
        <v>6560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1531</v>
      </c>
      <c r="C9" s="28" t="s">
        <v>15</v>
      </c>
      <c r="D9" s="66" t="s">
        <v>557</v>
      </c>
      <c r="E9" s="40" t="s">
        <v>369</v>
      </c>
      <c r="F9" s="22">
        <v>8000</v>
      </c>
      <c r="G9" s="22">
        <v>20000</v>
      </c>
      <c r="H9" s="23">
        <v>8000</v>
      </c>
      <c r="I9" s="22">
        <f>G9-H9</f>
        <v>12000</v>
      </c>
      <c r="J9" s="22" t="s">
        <v>16</v>
      </c>
      <c r="K9" s="24"/>
      <c r="L9" s="25"/>
    </row>
    <row r="10" spans="1:12" ht="15.75" x14ac:dyDescent="0.25">
      <c r="A10" s="20" t="s">
        <v>20</v>
      </c>
      <c r="B10" s="21" t="s">
        <v>1532</v>
      </c>
      <c r="C10" s="28" t="s">
        <v>15</v>
      </c>
      <c r="D10" s="66" t="s">
        <v>1510</v>
      </c>
      <c r="E10" s="40" t="s">
        <v>1114</v>
      </c>
      <c r="F10" s="22">
        <f>5000+3500</f>
        <v>8500</v>
      </c>
      <c r="G10" s="22">
        <v>10000</v>
      </c>
      <c r="H10" s="23">
        <f>1600+8500</f>
        <v>10100</v>
      </c>
      <c r="I10" s="22">
        <f>G10-H10</f>
        <v>-100</v>
      </c>
      <c r="J10" s="22" t="s">
        <v>24</v>
      </c>
      <c r="K10" s="24"/>
      <c r="L10" s="25"/>
    </row>
    <row r="11" spans="1:12" ht="15.75" x14ac:dyDescent="0.25">
      <c r="A11" s="20" t="s">
        <v>21</v>
      </c>
      <c r="B11" s="21" t="s">
        <v>1533</v>
      </c>
      <c r="C11" s="28" t="s">
        <v>1534</v>
      </c>
      <c r="D11" s="66" t="s">
        <v>42</v>
      </c>
      <c r="E11" s="40" t="s">
        <v>74</v>
      </c>
      <c r="F11" s="22">
        <v>8560</v>
      </c>
      <c r="G11" s="22">
        <v>10000</v>
      </c>
      <c r="H11" s="23">
        <v>8560</v>
      </c>
      <c r="I11" s="22">
        <f t="shared" ref="I11:I17" si="1">G11-H11</f>
        <v>1440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1535</v>
      </c>
      <c r="C12" s="28" t="s">
        <v>1536</v>
      </c>
      <c r="D12" s="66" t="s">
        <v>27</v>
      </c>
      <c r="E12" s="40" t="s">
        <v>1221</v>
      </c>
      <c r="F12" s="22">
        <v>17500</v>
      </c>
      <c r="G12" s="22">
        <v>60000</v>
      </c>
      <c r="H12" s="23">
        <v>17500</v>
      </c>
      <c r="I12" s="22">
        <f>G12-H12</f>
        <v>42500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1504</v>
      </c>
      <c r="C13" s="28" t="s">
        <v>15</v>
      </c>
      <c r="D13" s="66" t="s">
        <v>219</v>
      </c>
      <c r="E13" s="40" t="s">
        <v>1505</v>
      </c>
      <c r="F13" s="22">
        <v>2400</v>
      </c>
      <c r="G13" s="22">
        <v>5000</v>
      </c>
      <c r="H13" s="23">
        <f>4300+2400</f>
        <v>6700</v>
      </c>
      <c r="I13" s="22">
        <f t="shared" ref="I13" si="2">G13-H13</f>
        <v>-1700</v>
      </c>
      <c r="J13" s="22" t="s">
        <v>24</v>
      </c>
      <c r="K13" s="24"/>
      <c r="L13" s="25"/>
    </row>
    <row r="14" spans="1:12" ht="15.75" x14ac:dyDescent="0.25">
      <c r="A14" s="20" t="s">
        <v>30</v>
      </c>
      <c r="B14" s="21" t="s">
        <v>1498</v>
      </c>
      <c r="C14" s="28" t="s">
        <v>1499</v>
      </c>
      <c r="D14" s="66" t="s">
        <v>1271</v>
      </c>
      <c r="E14" s="40" t="s">
        <v>1500</v>
      </c>
      <c r="F14" s="22">
        <v>12250</v>
      </c>
      <c r="G14" s="42">
        <v>85000</v>
      </c>
      <c r="H14" s="23">
        <f>6000+56500+12250</f>
        <v>74750</v>
      </c>
      <c r="I14" s="22">
        <f t="shared" si="1"/>
        <v>10250</v>
      </c>
      <c r="J14" s="22" t="s">
        <v>16</v>
      </c>
      <c r="K14" s="24"/>
      <c r="L14" s="25"/>
    </row>
    <row r="15" spans="1:12" ht="15.75" x14ac:dyDescent="0.25">
      <c r="A15" s="20" t="s">
        <v>231</v>
      </c>
      <c r="B15" s="21" t="s">
        <v>1537</v>
      </c>
      <c r="C15" s="28" t="s">
        <v>800</v>
      </c>
      <c r="D15" s="29" t="s">
        <v>509</v>
      </c>
      <c r="E15" s="40" t="s">
        <v>636</v>
      </c>
      <c r="F15" s="22">
        <v>1658.5</v>
      </c>
      <c r="G15" s="42">
        <v>3900</v>
      </c>
      <c r="H15" s="23">
        <v>1658.5</v>
      </c>
      <c r="I15" s="22">
        <f>G15-H15</f>
        <v>2241.5</v>
      </c>
      <c r="J15" s="22" t="s">
        <v>16</v>
      </c>
      <c r="K15" s="24"/>
      <c r="L15" s="25"/>
    </row>
    <row r="16" spans="1:12" ht="15.75" x14ac:dyDescent="0.25">
      <c r="A16" s="20" t="s">
        <v>152</v>
      </c>
      <c r="B16" s="21" t="s">
        <v>1538</v>
      </c>
      <c r="C16" s="28" t="s">
        <v>15</v>
      </c>
      <c r="D16" s="29" t="s">
        <v>35</v>
      </c>
      <c r="E16" s="40" t="s">
        <v>1539</v>
      </c>
      <c r="F16" s="22">
        <v>240.5</v>
      </c>
      <c r="G16" s="22">
        <v>240</v>
      </c>
      <c r="H16" s="23">
        <v>240</v>
      </c>
      <c r="I16" s="22">
        <f t="shared" si="1"/>
        <v>0</v>
      </c>
      <c r="J16" s="22" t="s">
        <v>23</v>
      </c>
      <c r="K16" s="24"/>
      <c r="L16" s="25"/>
    </row>
    <row r="17" spans="1:12" ht="15.75" x14ac:dyDescent="0.25">
      <c r="A17" s="20" t="s">
        <v>228</v>
      </c>
      <c r="B17" s="21" t="s">
        <v>1360</v>
      </c>
      <c r="C17" s="28" t="s">
        <v>1305</v>
      </c>
      <c r="D17" s="29" t="s">
        <v>27</v>
      </c>
      <c r="E17" s="40" t="s">
        <v>405</v>
      </c>
      <c r="F17" s="22">
        <v>10000</v>
      </c>
      <c r="G17" s="22">
        <v>1000000</v>
      </c>
      <c r="H17" s="23">
        <f>9100+96000+48000+41000+60000+10000</f>
        <v>264100</v>
      </c>
      <c r="I17" s="22">
        <f t="shared" si="1"/>
        <v>735900</v>
      </c>
      <c r="J17" s="22" t="s">
        <v>16</v>
      </c>
      <c r="K17" s="24"/>
      <c r="L17" s="25"/>
    </row>
    <row r="18" spans="1:12" ht="16.5" thickBot="1" x14ac:dyDescent="0.3">
      <c r="A18" s="43"/>
      <c r="B18" s="44"/>
      <c r="C18" s="45"/>
      <c r="D18" s="67"/>
      <c r="E18" s="47"/>
      <c r="F18" s="48"/>
      <c r="G18" s="62"/>
      <c r="H18" s="49"/>
      <c r="I18" s="48"/>
      <c r="J18" s="48"/>
      <c r="K18" s="50"/>
      <c r="L18" s="51"/>
    </row>
    <row r="19" spans="1:12" ht="16.5" thickBot="1" x14ac:dyDescent="0.3">
      <c r="A19" s="71"/>
      <c r="B19" s="72"/>
      <c r="C19" s="73"/>
      <c r="D19" s="74"/>
      <c r="E19" s="75"/>
      <c r="F19" s="76"/>
      <c r="G19" s="76"/>
      <c r="H19" s="77"/>
      <c r="I19" s="76"/>
      <c r="J19" s="76"/>
      <c r="K19" s="78"/>
      <c r="L19" s="79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2:L21"/>
  <sheetViews>
    <sheetView workbookViewId="0">
      <pane xSplit="3" topLeftCell="F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228</v>
      </c>
      <c r="B4" s="15" t="s">
        <v>1381</v>
      </c>
      <c r="C4" s="26" t="s">
        <v>15</v>
      </c>
      <c r="D4" s="65" t="s">
        <v>1099</v>
      </c>
      <c r="E4" s="39" t="s">
        <v>1525</v>
      </c>
      <c r="F4" s="16">
        <v>40000</v>
      </c>
      <c r="G4" s="16">
        <v>1000000</v>
      </c>
      <c r="H4" s="17">
        <f>624000+40000</f>
        <v>664000</v>
      </c>
      <c r="I4" s="16">
        <f t="shared" ref="I4:I6" si="0">G4-H4</f>
        <v>336000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1439</v>
      </c>
      <c r="C5" s="28" t="s">
        <v>1440</v>
      </c>
      <c r="D5" s="66" t="s">
        <v>18</v>
      </c>
      <c r="E5" s="40" t="s">
        <v>1441</v>
      </c>
      <c r="F5" s="22">
        <v>2078</v>
      </c>
      <c r="G5" s="22">
        <v>2000</v>
      </c>
      <c r="H5" s="23">
        <v>2078</v>
      </c>
      <c r="I5" s="22">
        <f t="shared" si="0"/>
        <v>-78</v>
      </c>
      <c r="J5" s="22" t="s">
        <v>24</v>
      </c>
      <c r="K5" s="24"/>
      <c r="L5" s="25"/>
    </row>
    <row r="6" spans="1:12" ht="15.75" x14ac:dyDescent="0.25">
      <c r="A6" s="20" t="s">
        <v>19</v>
      </c>
      <c r="B6" s="21" t="s">
        <v>1552</v>
      </c>
      <c r="C6" s="28" t="s">
        <v>15</v>
      </c>
      <c r="D6" s="66" t="s">
        <v>53</v>
      </c>
      <c r="E6" s="40" t="s">
        <v>369</v>
      </c>
      <c r="F6" s="22">
        <v>18100</v>
      </c>
      <c r="G6" s="22">
        <v>20000</v>
      </c>
      <c r="H6" s="23">
        <v>18100</v>
      </c>
      <c r="I6" s="22">
        <f t="shared" si="0"/>
        <v>1900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1381</v>
      </c>
      <c r="C7" s="28" t="s">
        <v>15</v>
      </c>
      <c r="D7" s="66" t="s">
        <v>1510</v>
      </c>
      <c r="E7" s="40" t="s">
        <v>1550</v>
      </c>
      <c r="F7" s="22">
        <v>19400</v>
      </c>
      <c r="G7" s="22">
        <v>20000</v>
      </c>
      <c r="H7" s="23">
        <v>19400</v>
      </c>
      <c r="I7" s="22">
        <f>G7-H7</f>
        <v>600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1338</v>
      </c>
      <c r="C8" s="28" t="s">
        <v>15</v>
      </c>
      <c r="D8" s="29" t="s">
        <v>1551</v>
      </c>
      <c r="E8" s="40" t="s">
        <v>72</v>
      </c>
      <c r="F8" s="22">
        <v>270.2</v>
      </c>
      <c r="G8" s="22">
        <v>500</v>
      </c>
      <c r="H8" s="23">
        <v>270.2</v>
      </c>
      <c r="I8" s="22">
        <f>G8-H8</f>
        <v>229.8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1548</v>
      </c>
      <c r="C9" s="28" t="s">
        <v>15</v>
      </c>
      <c r="D9" s="29" t="s">
        <v>18</v>
      </c>
      <c r="E9" s="40" t="s">
        <v>1549</v>
      </c>
      <c r="F9" s="22">
        <v>50000</v>
      </c>
      <c r="G9" s="22">
        <v>50000</v>
      </c>
      <c r="H9" s="23">
        <v>50000</v>
      </c>
      <c r="I9" s="22">
        <f>G9-H9</f>
        <v>0</v>
      </c>
      <c r="J9" s="22" t="s">
        <v>24</v>
      </c>
      <c r="K9" s="24"/>
      <c r="L9" s="25"/>
    </row>
    <row r="10" spans="1:12" ht="15.75" x14ac:dyDescent="0.25">
      <c r="A10" s="20" t="s">
        <v>14</v>
      </c>
      <c r="B10" s="21" t="s">
        <v>1546</v>
      </c>
      <c r="C10" s="28" t="s">
        <v>15</v>
      </c>
      <c r="D10" s="66" t="s">
        <v>18</v>
      </c>
      <c r="E10" s="40" t="s">
        <v>1547</v>
      </c>
      <c r="F10" s="22">
        <v>4000</v>
      </c>
      <c r="G10" s="22">
        <v>5000</v>
      </c>
      <c r="H10" s="23">
        <v>4000</v>
      </c>
      <c r="I10" s="22">
        <f>G10-H10</f>
        <v>1000</v>
      </c>
      <c r="J10" s="22" t="s">
        <v>16</v>
      </c>
      <c r="K10" s="24"/>
      <c r="L10" s="25"/>
    </row>
    <row r="11" spans="1:12" ht="15.75" x14ac:dyDescent="0.25">
      <c r="A11" s="20" t="s">
        <v>20</v>
      </c>
      <c r="B11" s="21" t="s">
        <v>1532</v>
      </c>
      <c r="C11" s="28" t="s">
        <v>15</v>
      </c>
      <c r="D11" s="66" t="s">
        <v>1510</v>
      </c>
      <c r="E11" s="40" t="s">
        <v>1114</v>
      </c>
      <c r="F11" s="22">
        <v>1535</v>
      </c>
      <c r="G11" s="22">
        <v>10000</v>
      </c>
      <c r="H11" s="23">
        <f>1600+8500+1535</f>
        <v>11635</v>
      </c>
      <c r="I11" s="22">
        <f>G11-H11</f>
        <v>-1635</v>
      </c>
      <c r="J11" s="22" t="s">
        <v>24</v>
      </c>
      <c r="K11" s="24"/>
      <c r="L11" s="25"/>
    </row>
    <row r="12" spans="1:12" ht="15.75" x14ac:dyDescent="0.25">
      <c r="A12" s="20" t="s">
        <v>17</v>
      </c>
      <c r="B12" s="21" t="s">
        <v>703</v>
      </c>
      <c r="C12" s="28" t="s">
        <v>287</v>
      </c>
      <c r="D12" s="66" t="s">
        <v>42</v>
      </c>
      <c r="E12" s="40" t="s">
        <v>1407</v>
      </c>
      <c r="F12" s="22">
        <v>1000</v>
      </c>
      <c r="G12" s="22">
        <v>10000</v>
      </c>
      <c r="H12" s="23">
        <v>1000</v>
      </c>
      <c r="I12" s="22">
        <f t="shared" ref="I12:I19" si="1">G12-H12</f>
        <v>9000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1535</v>
      </c>
      <c r="C13" s="28" t="s">
        <v>1536</v>
      </c>
      <c r="D13" s="66" t="s">
        <v>27</v>
      </c>
      <c r="E13" s="40" t="s">
        <v>1221</v>
      </c>
      <c r="F13" s="22">
        <v>12000</v>
      </c>
      <c r="G13" s="22">
        <v>60000</v>
      </c>
      <c r="H13" s="23">
        <f>17500+12000</f>
        <v>29500</v>
      </c>
      <c r="I13" s="22">
        <f>G13-H13</f>
        <v>30500</v>
      </c>
      <c r="J13" s="22" t="s">
        <v>16</v>
      </c>
      <c r="K13" s="24"/>
      <c r="L13" s="25"/>
    </row>
    <row r="14" spans="1:12" ht="15.75" x14ac:dyDescent="0.25">
      <c r="A14" s="20" t="s">
        <v>17</v>
      </c>
      <c r="B14" s="21" t="s">
        <v>1504</v>
      </c>
      <c r="C14" s="28" t="s">
        <v>15</v>
      </c>
      <c r="D14" s="66" t="s">
        <v>219</v>
      </c>
      <c r="E14" s="40" t="s">
        <v>1505</v>
      </c>
      <c r="F14" s="22">
        <v>1080</v>
      </c>
      <c r="G14" s="22">
        <v>10000</v>
      </c>
      <c r="H14" s="23">
        <f>4300+2400+1080</f>
        <v>7780</v>
      </c>
      <c r="I14" s="22">
        <f t="shared" ref="I14" si="2">G14-H14</f>
        <v>2220</v>
      </c>
      <c r="J14" s="22" t="s">
        <v>16</v>
      </c>
      <c r="K14" s="24"/>
      <c r="L14" s="25"/>
    </row>
    <row r="15" spans="1:12" ht="15.75" x14ac:dyDescent="0.25">
      <c r="A15" s="20" t="s">
        <v>19</v>
      </c>
      <c r="B15" s="21" t="s">
        <v>1531</v>
      </c>
      <c r="C15" s="28" t="s">
        <v>15</v>
      </c>
      <c r="D15" s="66" t="s">
        <v>452</v>
      </c>
      <c r="E15" s="40" t="s">
        <v>369</v>
      </c>
      <c r="F15" s="22">
        <v>8870</v>
      </c>
      <c r="G15" s="22">
        <v>20000</v>
      </c>
      <c r="H15" s="23">
        <v>16870</v>
      </c>
      <c r="I15" s="22">
        <f>G15-H15</f>
        <v>3130</v>
      </c>
      <c r="J15" s="22" t="s">
        <v>16</v>
      </c>
      <c r="K15" s="24"/>
      <c r="L15" s="25"/>
    </row>
    <row r="16" spans="1:12" ht="15.75" x14ac:dyDescent="0.25">
      <c r="A16" s="20" t="s">
        <v>30</v>
      </c>
      <c r="B16" s="21" t="s">
        <v>1545</v>
      </c>
      <c r="C16" s="28" t="s">
        <v>109</v>
      </c>
      <c r="D16" s="66" t="s">
        <v>48</v>
      </c>
      <c r="E16" s="40" t="s">
        <v>49</v>
      </c>
      <c r="F16" s="22">
        <v>44000</v>
      </c>
      <c r="G16" s="42">
        <v>270000</v>
      </c>
      <c r="H16" s="23">
        <v>44000</v>
      </c>
      <c r="I16" s="22">
        <f t="shared" si="1"/>
        <v>226000</v>
      </c>
      <c r="J16" s="22" t="s">
        <v>16</v>
      </c>
      <c r="K16" s="24"/>
      <c r="L16" s="25"/>
    </row>
    <row r="17" spans="1:12" ht="15.75" x14ac:dyDescent="0.25">
      <c r="A17" s="20" t="s">
        <v>231</v>
      </c>
      <c r="B17" s="21" t="s">
        <v>1537</v>
      </c>
      <c r="C17" s="28" t="s">
        <v>800</v>
      </c>
      <c r="D17" s="29" t="s">
        <v>509</v>
      </c>
      <c r="E17" s="40" t="s">
        <v>636</v>
      </c>
      <c r="F17" s="22">
        <v>809.65</v>
      </c>
      <c r="G17" s="42">
        <v>3900</v>
      </c>
      <c r="H17" s="23">
        <f>1658.5+809.65</f>
        <v>2468.15</v>
      </c>
      <c r="I17" s="22">
        <f>G17-H17</f>
        <v>1431.85</v>
      </c>
      <c r="J17" s="22" t="s">
        <v>16</v>
      </c>
      <c r="K17" s="24"/>
      <c r="L17" s="25"/>
    </row>
    <row r="18" spans="1:12" ht="15.75" x14ac:dyDescent="0.25">
      <c r="A18" s="20" t="s">
        <v>21</v>
      </c>
      <c r="B18" s="21" t="s">
        <v>1544</v>
      </c>
      <c r="C18" s="28" t="s">
        <v>15</v>
      </c>
      <c r="D18" s="29" t="s">
        <v>344</v>
      </c>
      <c r="E18" s="40" t="s">
        <v>345</v>
      </c>
      <c r="F18" s="22">
        <v>16000</v>
      </c>
      <c r="G18" s="22">
        <v>100000</v>
      </c>
      <c r="H18" s="23">
        <v>16000</v>
      </c>
      <c r="I18" s="22">
        <f t="shared" si="1"/>
        <v>84000</v>
      </c>
      <c r="J18" s="22" t="s">
        <v>16</v>
      </c>
      <c r="K18" s="24"/>
      <c r="L18" s="25"/>
    </row>
    <row r="19" spans="1:12" ht="16.5" thickBot="1" x14ac:dyDescent="0.3">
      <c r="A19" s="20" t="s">
        <v>17</v>
      </c>
      <c r="B19" s="21" t="s">
        <v>1531</v>
      </c>
      <c r="C19" s="28" t="s">
        <v>15</v>
      </c>
      <c r="D19" s="29" t="s">
        <v>1543</v>
      </c>
      <c r="E19" s="40" t="s">
        <v>1311</v>
      </c>
      <c r="F19" s="22">
        <v>1100</v>
      </c>
      <c r="G19" s="22">
        <v>10000</v>
      </c>
      <c r="H19" s="23">
        <v>1100</v>
      </c>
      <c r="I19" s="22">
        <f t="shared" si="1"/>
        <v>8900</v>
      </c>
      <c r="J19" s="22" t="s">
        <v>16</v>
      </c>
      <c r="K19" s="24"/>
      <c r="L19" s="25"/>
    </row>
    <row r="20" spans="1:12" ht="16.5" thickBot="1" x14ac:dyDescent="0.3">
      <c r="A20" s="43"/>
      <c r="B20" s="44"/>
      <c r="C20" s="45"/>
      <c r="D20" s="67"/>
      <c r="E20" s="47"/>
      <c r="F20" s="48"/>
      <c r="G20" s="62"/>
      <c r="H20" s="49"/>
      <c r="I20" s="48"/>
      <c r="J20" s="48"/>
      <c r="K20" s="50"/>
      <c r="L20" s="51"/>
    </row>
    <row r="21" spans="1:12" ht="16.5" thickBot="1" x14ac:dyDescent="0.3">
      <c r="A21" s="71"/>
      <c r="B21" s="72"/>
      <c r="C21" s="73"/>
      <c r="D21" s="74"/>
      <c r="E21" s="75"/>
      <c r="F21" s="76"/>
      <c r="G21" s="76"/>
      <c r="H21" s="77"/>
      <c r="I21" s="76"/>
      <c r="J21" s="76"/>
      <c r="K21" s="78"/>
      <c r="L21" s="79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2:L24"/>
  <sheetViews>
    <sheetView workbookViewId="0">
      <pane xSplit="3" topLeftCell="F1" activePane="topRight" state="frozen"/>
      <selection pane="topRight" activeCell="C15" sqref="C1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20</v>
      </c>
      <c r="B4" s="15" t="s">
        <v>1563</v>
      </c>
      <c r="C4" s="26" t="s">
        <v>457</v>
      </c>
      <c r="D4" s="65" t="s">
        <v>432</v>
      </c>
      <c r="E4" s="39" t="s">
        <v>458</v>
      </c>
      <c r="F4" s="16">
        <v>5500</v>
      </c>
      <c r="G4" s="16">
        <v>10000</v>
      </c>
      <c r="H4" s="17">
        <v>5500</v>
      </c>
      <c r="I4" s="16">
        <f t="shared" ref="I4:I6" si="0">G4-H4</f>
        <v>4500</v>
      </c>
      <c r="J4" s="16" t="s">
        <v>16</v>
      </c>
      <c r="K4" s="18"/>
      <c r="L4" s="19"/>
    </row>
    <row r="5" spans="1:12" ht="15.75" x14ac:dyDescent="0.25">
      <c r="A5" s="20" t="s">
        <v>21</v>
      </c>
      <c r="B5" s="21" t="s">
        <v>1564</v>
      </c>
      <c r="C5" s="28" t="s">
        <v>15</v>
      </c>
      <c r="D5" s="66" t="s">
        <v>344</v>
      </c>
      <c r="E5" s="40" t="s">
        <v>361</v>
      </c>
      <c r="F5" s="22">
        <v>73000</v>
      </c>
      <c r="G5" s="22">
        <v>100000</v>
      </c>
      <c r="H5" s="23">
        <v>73000</v>
      </c>
      <c r="I5" s="22">
        <f t="shared" si="0"/>
        <v>27000</v>
      </c>
      <c r="J5" s="22" t="s">
        <v>16</v>
      </c>
      <c r="K5" s="24"/>
      <c r="L5" s="25"/>
    </row>
    <row r="6" spans="1:12" ht="15.75" x14ac:dyDescent="0.25">
      <c r="A6" s="20" t="s">
        <v>44</v>
      </c>
      <c r="B6" s="21" t="s">
        <v>1381</v>
      </c>
      <c r="C6" s="28" t="s">
        <v>15</v>
      </c>
      <c r="D6" s="66" t="s">
        <v>1565</v>
      </c>
      <c r="E6" s="40" t="s">
        <v>50</v>
      </c>
      <c r="F6" s="22">
        <v>5400</v>
      </c>
      <c r="G6" s="22">
        <v>100000</v>
      </c>
      <c r="H6" s="23">
        <v>5400</v>
      </c>
      <c r="I6" s="22">
        <f t="shared" si="0"/>
        <v>94600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1566</v>
      </c>
      <c r="C7" s="28" t="s">
        <v>1567</v>
      </c>
      <c r="D7" s="66" t="s">
        <v>1568</v>
      </c>
      <c r="E7" s="40" t="s">
        <v>351</v>
      </c>
      <c r="F7" s="22">
        <v>402.3</v>
      </c>
      <c r="G7" s="22">
        <v>500</v>
      </c>
      <c r="H7" s="23">
        <v>402.3</v>
      </c>
      <c r="I7" s="22">
        <f t="shared" ref="I7:I13" si="1">G7-H7</f>
        <v>97.699999999999989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1569</v>
      </c>
      <c r="C8" s="28" t="s">
        <v>15</v>
      </c>
      <c r="D8" s="66" t="s">
        <v>18</v>
      </c>
      <c r="E8" s="40" t="s">
        <v>1570</v>
      </c>
      <c r="F8" s="22">
        <v>5300</v>
      </c>
      <c r="G8" s="22">
        <v>5000</v>
      </c>
      <c r="H8" s="23">
        <v>5300</v>
      </c>
      <c r="I8" s="22">
        <f t="shared" si="1"/>
        <v>-300</v>
      </c>
      <c r="J8" s="22" t="s">
        <v>24</v>
      </c>
      <c r="K8" s="24"/>
      <c r="L8" s="25"/>
    </row>
    <row r="9" spans="1:12" ht="15.75" x14ac:dyDescent="0.25">
      <c r="A9" s="20" t="s">
        <v>21</v>
      </c>
      <c r="B9" s="21" t="s">
        <v>1561</v>
      </c>
      <c r="C9" s="28" t="s">
        <v>1562</v>
      </c>
      <c r="D9" s="29" t="s">
        <v>27</v>
      </c>
      <c r="E9" s="40" t="s">
        <v>132</v>
      </c>
      <c r="F9" s="22">
        <v>18000</v>
      </c>
      <c r="G9" s="22">
        <v>35000</v>
      </c>
      <c r="H9" s="23">
        <v>18000</v>
      </c>
      <c r="I9" s="22">
        <f t="shared" si="1"/>
        <v>17000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1571</v>
      </c>
      <c r="C10" s="28" t="s">
        <v>15</v>
      </c>
      <c r="D10" s="29" t="s">
        <v>250</v>
      </c>
      <c r="E10" s="40" t="s">
        <v>1572</v>
      </c>
      <c r="F10" s="22">
        <v>3500</v>
      </c>
      <c r="G10" s="22">
        <v>5000</v>
      </c>
      <c r="H10" s="23">
        <v>3500</v>
      </c>
      <c r="I10" s="22">
        <f t="shared" si="1"/>
        <v>1500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1553</v>
      </c>
      <c r="C11" s="28" t="s">
        <v>15</v>
      </c>
      <c r="D11" s="29" t="s">
        <v>18</v>
      </c>
      <c r="E11" s="40" t="s">
        <v>1549</v>
      </c>
      <c r="F11" s="22">
        <v>47150</v>
      </c>
      <c r="G11" s="22">
        <v>100000</v>
      </c>
      <c r="H11" s="23">
        <v>47150</v>
      </c>
      <c r="I11" s="22">
        <f t="shared" si="1"/>
        <v>52850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1546</v>
      </c>
      <c r="C12" s="28" t="s">
        <v>15</v>
      </c>
      <c r="D12" s="66" t="s">
        <v>18</v>
      </c>
      <c r="E12" s="40" t="s">
        <v>1547</v>
      </c>
      <c r="F12" s="22">
        <f>13000+2250</f>
        <v>15250</v>
      </c>
      <c r="G12" s="22">
        <v>20000</v>
      </c>
      <c r="H12" s="23">
        <v>15250</v>
      </c>
      <c r="I12" s="22">
        <f t="shared" si="1"/>
        <v>4750</v>
      </c>
      <c r="J12" s="22" t="s">
        <v>16</v>
      </c>
      <c r="K12" s="24"/>
      <c r="L12" s="25"/>
    </row>
    <row r="13" spans="1:12" ht="15.75" x14ac:dyDescent="0.25">
      <c r="A13" s="20" t="s">
        <v>14</v>
      </c>
      <c r="B13" s="21" t="s">
        <v>1381</v>
      </c>
      <c r="C13" s="28" t="s">
        <v>15</v>
      </c>
      <c r="D13" s="66" t="s">
        <v>18</v>
      </c>
      <c r="E13" s="40" t="s">
        <v>1032</v>
      </c>
      <c r="F13" s="22">
        <v>8000</v>
      </c>
      <c r="G13" s="22">
        <v>10000</v>
      </c>
      <c r="H13" s="23">
        <v>8000</v>
      </c>
      <c r="I13" s="22">
        <f t="shared" si="1"/>
        <v>2000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1381</v>
      </c>
      <c r="C14" s="28" t="s">
        <v>15</v>
      </c>
      <c r="D14" s="66" t="s">
        <v>18</v>
      </c>
      <c r="E14" s="40" t="s">
        <v>413</v>
      </c>
      <c r="F14" s="22">
        <f>5400+4000</f>
        <v>9400</v>
      </c>
      <c r="G14" s="22">
        <v>10000</v>
      </c>
      <c r="H14" s="23">
        <v>9400</v>
      </c>
      <c r="I14" s="22">
        <f t="shared" ref="I14:I22" si="2">G14-H14</f>
        <v>600</v>
      </c>
      <c r="J14" s="22" t="s">
        <v>16</v>
      </c>
      <c r="K14" s="24"/>
      <c r="L14" s="25"/>
    </row>
    <row r="15" spans="1:12" ht="15.75" x14ac:dyDescent="0.25">
      <c r="A15" s="20" t="s">
        <v>231</v>
      </c>
      <c r="B15" s="21" t="s">
        <v>1582</v>
      </c>
      <c r="C15" s="28" t="s">
        <v>15</v>
      </c>
      <c r="D15" s="66" t="s">
        <v>35</v>
      </c>
      <c r="E15" s="40" t="s">
        <v>1583</v>
      </c>
      <c r="F15" s="22">
        <v>100.45</v>
      </c>
      <c r="G15" s="22">
        <v>110</v>
      </c>
      <c r="H15" s="23">
        <v>100.45</v>
      </c>
      <c r="I15" s="22">
        <f t="shared" si="2"/>
        <v>9.5499999999999972</v>
      </c>
      <c r="J15" s="22" t="s">
        <v>23</v>
      </c>
      <c r="K15" s="24"/>
      <c r="L15" s="25"/>
    </row>
    <row r="16" spans="1:12" ht="15.75" x14ac:dyDescent="0.25">
      <c r="A16" s="20" t="s">
        <v>21</v>
      </c>
      <c r="B16" s="21" t="s">
        <v>1535</v>
      </c>
      <c r="C16" s="28" t="s">
        <v>1536</v>
      </c>
      <c r="D16" s="66" t="s">
        <v>27</v>
      </c>
      <c r="E16" s="40" t="s">
        <v>1221</v>
      </c>
      <c r="F16" s="22">
        <v>29000</v>
      </c>
      <c r="G16" s="22">
        <v>60000</v>
      </c>
      <c r="H16" s="23">
        <f>17500+12000+29000</f>
        <v>58500</v>
      </c>
      <c r="I16" s="22">
        <f>G16-H16</f>
        <v>1500</v>
      </c>
      <c r="J16" s="22" t="s">
        <v>16</v>
      </c>
      <c r="K16" s="24"/>
      <c r="L16" s="25"/>
    </row>
    <row r="17" spans="1:12" ht="15.75" x14ac:dyDescent="0.25">
      <c r="A17" s="20" t="s">
        <v>17</v>
      </c>
      <c r="B17" s="21" t="s">
        <v>1558</v>
      </c>
      <c r="C17" s="28" t="s">
        <v>15</v>
      </c>
      <c r="D17" s="66" t="s">
        <v>1559</v>
      </c>
      <c r="E17" s="40" t="s">
        <v>1560</v>
      </c>
      <c r="F17" s="22">
        <v>500</v>
      </c>
      <c r="G17" s="22">
        <v>3000</v>
      </c>
      <c r="H17" s="23">
        <v>500</v>
      </c>
      <c r="I17" s="22">
        <f t="shared" ref="I17" si="3">G17-H17</f>
        <v>2500</v>
      </c>
      <c r="J17" s="22" t="s">
        <v>16</v>
      </c>
      <c r="K17" s="24"/>
      <c r="L17" s="25"/>
    </row>
    <row r="18" spans="1:12" ht="15.75" x14ac:dyDescent="0.25">
      <c r="A18" s="20" t="s">
        <v>19</v>
      </c>
      <c r="B18" s="21" t="s">
        <v>1554</v>
      </c>
      <c r="C18" s="28" t="s">
        <v>15</v>
      </c>
      <c r="D18" s="66" t="s">
        <v>858</v>
      </c>
      <c r="E18" s="40" t="s">
        <v>848</v>
      </c>
      <c r="F18" s="22">
        <v>9200</v>
      </c>
      <c r="G18" s="22">
        <v>10000</v>
      </c>
      <c r="H18" s="23">
        <v>9200</v>
      </c>
      <c r="I18" s="22">
        <f>G18-H18</f>
        <v>800</v>
      </c>
      <c r="J18" s="22" t="s">
        <v>16</v>
      </c>
      <c r="K18" s="24"/>
      <c r="L18" s="25"/>
    </row>
    <row r="19" spans="1:12" ht="15.75" x14ac:dyDescent="0.25">
      <c r="A19" s="20" t="s">
        <v>30</v>
      </c>
      <c r="B19" s="21" t="s">
        <v>1545</v>
      </c>
      <c r="C19" s="28" t="s">
        <v>109</v>
      </c>
      <c r="D19" s="66" t="s">
        <v>48</v>
      </c>
      <c r="E19" s="40" t="s">
        <v>49</v>
      </c>
      <c r="F19" s="22">
        <v>64000</v>
      </c>
      <c r="G19" s="42">
        <v>270000</v>
      </c>
      <c r="H19" s="23">
        <f>44000+64000</f>
        <v>108000</v>
      </c>
      <c r="I19" s="22">
        <f t="shared" si="2"/>
        <v>162000</v>
      </c>
      <c r="J19" s="22" t="s">
        <v>16</v>
      </c>
      <c r="K19" s="24"/>
      <c r="L19" s="25"/>
    </row>
    <row r="20" spans="1:12" ht="15.75" x14ac:dyDescent="0.25">
      <c r="A20" s="20" t="s">
        <v>231</v>
      </c>
      <c r="B20" s="21" t="s">
        <v>1537</v>
      </c>
      <c r="C20" s="28" t="s">
        <v>800</v>
      </c>
      <c r="D20" s="29" t="s">
        <v>509</v>
      </c>
      <c r="E20" s="40" t="s">
        <v>636</v>
      </c>
      <c r="F20" s="22">
        <v>809.65</v>
      </c>
      <c r="G20" s="42">
        <v>3900</v>
      </c>
      <c r="H20" s="23">
        <f>1658.5+809.65</f>
        <v>2468.15</v>
      </c>
      <c r="I20" s="22">
        <f>G20-H20</f>
        <v>1431.85</v>
      </c>
      <c r="J20" s="22" t="s">
        <v>16</v>
      </c>
      <c r="K20" s="24"/>
      <c r="L20" s="25"/>
    </row>
    <row r="21" spans="1:12" ht="15.75" x14ac:dyDescent="0.25">
      <c r="A21" s="20" t="s">
        <v>228</v>
      </c>
      <c r="B21" s="21" t="s">
        <v>1557</v>
      </c>
      <c r="C21" s="28" t="s">
        <v>15</v>
      </c>
      <c r="D21" s="29" t="s">
        <v>344</v>
      </c>
      <c r="E21" s="40" t="s">
        <v>361</v>
      </c>
      <c r="F21" s="22">
        <v>45000</v>
      </c>
      <c r="G21" s="22">
        <v>100000</v>
      </c>
      <c r="H21" s="23">
        <v>45000</v>
      </c>
      <c r="I21" s="22">
        <f t="shared" si="2"/>
        <v>55000</v>
      </c>
      <c r="J21" s="22" t="s">
        <v>16</v>
      </c>
      <c r="K21" s="24"/>
      <c r="L21" s="25"/>
    </row>
    <row r="22" spans="1:12" ht="15.75" x14ac:dyDescent="0.25">
      <c r="A22" s="20" t="s">
        <v>346</v>
      </c>
      <c r="B22" s="21" t="s">
        <v>1555</v>
      </c>
      <c r="C22" s="28" t="s">
        <v>187</v>
      </c>
      <c r="D22" s="29" t="s">
        <v>1556</v>
      </c>
      <c r="E22" s="40" t="s">
        <v>46</v>
      </c>
      <c r="F22" s="22">
        <v>111.8</v>
      </c>
      <c r="G22" s="22">
        <v>150</v>
      </c>
      <c r="H22" s="23">
        <v>111.8</v>
      </c>
      <c r="I22" s="22">
        <f t="shared" si="2"/>
        <v>38.200000000000003</v>
      </c>
      <c r="J22" s="22" t="s">
        <v>16</v>
      </c>
      <c r="K22" s="24"/>
      <c r="L22" s="25"/>
    </row>
    <row r="23" spans="1:12" ht="16.5" thickBot="1" x14ac:dyDescent="0.3">
      <c r="A23" s="43"/>
      <c r="B23" s="44"/>
      <c r="C23" s="45"/>
      <c r="D23" s="67"/>
      <c r="E23" s="47"/>
      <c r="F23" s="48"/>
      <c r="G23" s="62"/>
      <c r="H23" s="49"/>
      <c r="I23" s="48"/>
      <c r="J23" s="48"/>
      <c r="K23" s="50"/>
      <c r="L23" s="51"/>
    </row>
    <row r="24" spans="1:12" ht="16.5" thickBot="1" x14ac:dyDescent="0.3">
      <c r="A24" s="71"/>
      <c r="B24" s="72"/>
      <c r="C24" s="73"/>
      <c r="D24" s="74"/>
      <c r="E24" s="75"/>
      <c r="F24" s="76"/>
      <c r="G24" s="76"/>
      <c r="H24" s="77"/>
      <c r="I24" s="76"/>
      <c r="J24" s="76"/>
      <c r="K24" s="78"/>
      <c r="L24" s="79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M104"/>
  <sheetViews>
    <sheetView topLeftCell="W63" workbookViewId="0">
      <selection activeCell="W63" sqref="A1:XFD1048576"/>
    </sheetView>
  </sheetViews>
  <sheetFormatPr defaultRowHeight="15" x14ac:dyDescent="0.25"/>
  <sheetData>
    <row r="1" spans="1:39" x14ac:dyDescent="0.25">
      <c r="A1">
        <v>14.2</v>
      </c>
      <c r="C1">
        <v>14.7</v>
      </c>
      <c r="E1">
        <v>13.2</v>
      </c>
      <c r="G1">
        <v>14.71</v>
      </c>
      <c r="I1">
        <v>15.4</v>
      </c>
      <c r="K1">
        <v>14.15</v>
      </c>
      <c r="M1">
        <v>16.2</v>
      </c>
      <c r="O1">
        <v>13.7</v>
      </c>
      <c r="Q1">
        <v>14.45</v>
      </c>
      <c r="S1">
        <v>14.65</v>
      </c>
      <c r="U1">
        <v>14.9</v>
      </c>
      <c r="W1">
        <v>15.1</v>
      </c>
      <c r="Y1">
        <v>15.5</v>
      </c>
      <c r="AA1">
        <v>15.5</v>
      </c>
      <c r="AC1">
        <v>16</v>
      </c>
      <c r="AE1">
        <v>14.9</v>
      </c>
      <c r="AG1">
        <v>14.9</v>
      </c>
      <c r="AI1">
        <v>14.5</v>
      </c>
      <c r="AK1">
        <v>14.2</v>
      </c>
      <c r="AM1">
        <v>15.4</v>
      </c>
    </row>
    <row r="2" spans="1:39" x14ac:dyDescent="0.25">
      <c r="A2">
        <v>14.6</v>
      </c>
      <c r="C2">
        <v>14.2</v>
      </c>
      <c r="E2">
        <v>15.9</v>
      </c>
      <c r="G2">
        <v>14.7</v>
      </c>
      <c r="I2">
        <v>15.4</v>
      </c>
      <c r="K2">
        <v>14.4</v>
      </c>
      <c r="M2">
        <v>16.2</v>
      </c>
      <c r="O2">
        <v>16.5</v>
      </c>
      <c r="Q2">
        <v>14.65</v>
      </c>
      <c r="S2">
        <v>14.9</v>
      </c>
      <c r="U2">
        <v>14.8</v>
      </c>
      <c r="W2">
        <v>15.5</v>
      </c>
      <c r="Y2">
        <v>15.1</v>
      </c>
      <c r="AA2">
        <v>14.7</v>
      </c>
      <c r="AC2">
        <v>14.7</v>
      </c>
      <c r="AE2">
        <v>14.85</v>
      </c>
      <c r="AG2">
        <v>15.2</v>
      </c>
      <c r="AI2">
        <v>15.8</v>
      </c>
      <c r="AK2">
        <v>13.8</v>
      </c>
      <c r="AM2">
        <v>15</v>
      </c>
    </row>
    <row r="3" spans="1:39" x14ac:dyDescent="0.25">
      <c r="A3">
        <v>14.45</v>
      </c>
      <c r="C3">
        <v>14.6</v>
      </c>
      <c r="E3">
        <v>15.6</v>
      </c>
      <c r="G3">
        <v>14.4</v>
      </c>
      <c r="I3">
        <v>14.9</v>
      </c>
      <c r="K3">
        <v>15.1</v>
      </c>
      <c r="M3">
        <v>15.9</v>
      </c>
      <c r="O3">
        <v>15.3</v>
      </c>
      <c r="Q3">
        <v>14.6</v>
      </c>
      <c r="S3">
        <v>14.7</v>
      </c>
      <c r="U3">
        <v>15.3</v>
      </c>
      <c r="W3">
        <v>15.3</v>
      </c>
      <c r="Y3">
        <v>15.2</v>
      </c>
      <c r="AA3">
        <v>14.7</v>
      </c>
      <c r="AC3">
        <v>14.8</v>
      </c>
      <c r="AE3">
        <v>15.2</v>
      </c>
      <c r="AG3">
        <v>15</v>
      </c>
      <c r="AI3">
        <v>14.2</v>
      </c>
      <c r="AK3">
        <v>13.9</v>
      </c>
      <c r="AM3">
        <v>14.6</v>
      </c>
    </row>
    <row r="4" spans="1:39" x14ac:dyDescent="0.25">
      <c r="A4">
        <v>14.5</v>
      </c>
      <c r="C4">
        <v>15.4</v>
      </c>
      <c r="E4">
        <v>16</v>
      </c>
      <c r="G4">
        <v>14.7</v>
      </c>
      <c r="I4">
        <v>15.3</v>
      </c>
      <c r="K4">
        <v>15.7</v>
      </c>
      <c r="M4">
        <v>15.9</v>
      </c>
      <c r="O4">
        <v>15.7</v>
      </c>
      <c r="Q4">
        <v>15.65</v>
      </c>
      <c r="S4">
        <v>14.9</v>
      </c>
      <c r="U4">
        <v>14.8</v>
      </c>
      <c r="W4">
        <v>15.9</v>
      </c>
      <c r="Y4">
        <v>15.5</v>
      </c>
      <c r="AA4">
        <v>14.8</v>
      </c>
      <c r="AC4">
        <v>14.8</v>
      </c>
      <c r="AE4">
        <v>14.6</v>
      </c>
      <c r="AG4">
        <v>15.2</v>
      </c>
      <c r="AI4">
        <v>16.5</v>
      </c>
      <c r="AK4">
        <v>13.7</v>
      </c>
      <c r="AM4">
        <v>14.7</v>
      </c>
    </row>
    <row r="5" spans="1:39" x14ac:dyDescent="0.25">
      <c r="A5">
        <v>14.9</v>
      </c>
      <c r="C5">
        <v>14.1</v>
      </c>
      <c r="E5">
        <v>15.3</v>
      </c>
      <c r="G5">
        <v>14.6</v>
      </c>
      <c r="I5">
        <v>15.5</v>
      </c>
      <c r="K5">
        <v>15.7</v>
      </c>
      <c r="M5">
        <v>15.9</v>
      </c>
      <c r="O5">
        <v>15.7</v>
      </c>
      <c r="Q5">
        <v>14.8</v>
      </c>
      <c r="S5">
        <v>14.6</v>
      </c>
      <c r="U5">
        <v>14.4</v>
      </c>
      <c r="W5">
        <v>15.7</v>
      </c>
      <c r="Y5">
        <v>14.8</v>
      </c>
      <c r="AA5">
        <v>15.5</v>
      </c>
      <c r="AC5">
        <v>16.7</v>
      </c>
      <c r="AE5">
        <v>14</v>
      </c>
      <c r="AG5">
        <v>14.7</v>
      </c>
      <c r="AI5">
        <v>14.13</v>
      </c>
      <c r="AK5">
        <v>14.9</v>
      </c>
      <c r="AM5">
        <v>13.5</v>
      </c>
    </row>
    <row r="6" spans="1:39" x14ac:dyDescent="0.25">
      <c r="A6">
        <v>14.9</v>
      </c>
      <c r="C6">
        <v>14.1</v>
      </c>
      <c r="E6">
        <v>14.8</v>
      </c>
      <c r="G6">
        <v>16</v>
      </c>
      <c r="I6">
        <v>15.7</v>
      </c>
      <c r="K6">
        <v>15.95</v>
      </c>
      <c r="M6">
        <v>16.5</v>
      </c>
      <c r="O6">
        <v>14.3</v>
      </c>
      <c r="Q6">
        <v>15.2</v>
      </c>
      <c r="S6">
        <v>14.2</v>
      </c>
      <c r="U6">
        <v>14.2</v>
      </c>
      <c r="W6">
        <v>16.399999999999999</v>
      </c>
      <c r="Y6">
        <v>15.3</v>
      </c>
      <c r="AA6">
        <v>15</v>
      </c>
      <c r="AC6">
        <v>14.5</v>
      </c>
      <c r="AE6">
        <v>15.4</v>
      </c>
      <c r="AG6">
        <v>16.600000000000001</v>
      </c>
      <c r="AI6">
        <v>14.4</v>
      </c>
      <c r="AK6">
        <v>14.4</v>
      </c>
      <c r="AM6">
        <v>13.6</v>
      </c>
    </row>
    <row r="7" spans="1:39" x14ac:dyDescent="0.25">
      <c r="A7">
        <v>14.8</v>
      </c>
      <c r="C7">
        <v>14.9</v>
      </c>
      <c r="E7">
        <v>15.2</v>
      </c>
      <c r="G7">
        <v>14.9</v>
      </c>
      <c r="I7">
        <v>15.6</v>
      </c>
      <c r="K7">
        <v>15.65</v>
      </c>
      <c r="M7">
        <v>16.5</v>
      </c>
      <c r="O7">
        <v>15.5</v>
      </c>
      <c r="Q7">
        <v>15.8</v>
      </c>
      <c r="S7">
        <v>13.9</v>
      </c>
      <c r="U7">
        <v>14.75</v>
      </c>
      <c r="W7">
        <v>15.8</v>
      </c>
      <c r="Y7">
        <v>15.4</v>
      </c>
      <c r="AA7">
        <v>15.2</v>
      </c>
      <c r="AC7">
        <v>14.4</v>
      </c>
      <c r="AE7">
        <v>15.65</v>
      </c>
      <c r="AG7">
        <v>15.6</v>
      </c>
      <c r="AI7">
        <v>14.7</v>
      </c>
      <c r="AK7">
        <v>14.6</v>
      </c>
      <c r="AM7">
        <v>13.4</v>
      </c>
    </row>
    <row r="8" spans="1:39" x14ac:dyDescent="0.25">
      <c r="A8">
        <v>16.600000000000001</v>
      </c>
      <c r="C8">
        <v>14.7</v>
      </c>
      <c r="E8">
        <v>15.1</v>
      </c>
      <c r="G8">
        <v>16.399999999999999</v>
      </c>
      <c r="I8">
        <v>15.9</v>
      </c>
      <c r="K8">
        <v>15.5</v>
      </c>
      <c r="M8">
        <v>15.8</v>
      </c>
      <c r="O8">
        <v>15.2</v>
      </c>
      <c r="Q8">
        <v>14.4</v>
      </c>
      <c r="S8">
        <v>14.2</v>
      </c>
      <c r="U8">
        <v>13.9</v>
      </c>
      <c r="W8">
        <v>15</v>
      </c>
      <c r="Y8">
        <v>15.9</v>
      </c>
      <c r="AA8">
        <v>15.3</v>
      </c>
      <c r="AC8">
        <v>14.7</v>
      </c>
      <c r="AE8">
        <v>15.75</v>
      </c>
      <c r="AG8">
        <v>16.100000000000001</v>
      </c>
      <c r="AI8">
        <v>15.8</v>
      </c>
      <c r="AK8">
        <v>15</v>
      </c>
      <c r="AM8">
        <v>13.6</v>
      </c>
    </row>
    <row r="9" spans="1:39" x14ac:dyDescent="0.25">
      <c r="A9">
        <v>14.4</v>
      </c>
      <c r="C9">
        <v>14.9</v>
      </c>
      <c r="E9">
        <v>15.7</v>
      </c>
      <c r="G9">
        <v>15.2</v>
      </c>
      <c r="I9">
        <v>15.4</v>
      </c>
      <c r="K9">
        <v>14.6</v>
      </c>
      <c r="M9">
        <v>15.9</v>
      </c>
      <c r="O9">
        <v>15.3</v>
      </c>
      <c r="Q9">
        <v>14.4</v>
      </c>
      <c r="S9">
        <v>15.9</v>
      </c>
      <c r="U9">
        <v>14.45</v>
      </c>
      <c r="W9">
        <v>15.1</v>
      </c>
      <c r="Y9">
        <v>16.5</v>
      </c>
      <c r="AA9">
        <v>15.4</v>
      </c>
      <c r="AC9">
        <v>14.95</v>
      </c>
      <c r="AE9">
        <v>15.7</v>
      </c>
      <c r="AG9">
        <v>15.6</v>
      </c>
      <c r="AI9">
        <v>14.3</v>
      </c>
      <c r="AK9">
        <v>14.1</v>
      </c>
      <c r="AM9">
        <v>13.5</v>
      </c>
    </row>
    <row r="10" spans="1:39" x14ac:dyDescent="0.25">
      <c r="A10">
        <v>14.8</v>
      </c>
      <c r="C10">
        <v>14.6</v>
      </c>
      <c r="E10">
        <v>16.2</v>
      </c>
      <c r="G10">
        <v>15.3</v>
      </c>
      <c r="I10">
        <v>15.6</v>
      </c>
      <c r="K10">
        <v>15.6</v>
      </c>
      <c r="M10">
        <v>16.5</v>
      </c>
      <c r="O10">
        <v>14.6</v>
      </c>
      <c r="Q10">
        <v>14.4</v>
      </c>
      <c r="S10">
        <v>16.2</v>
      </c>
      <c r="U10">
        <v>14.65</v>
      </c>
      <c r="W10">
        <v>15</v>
      </c>
      <c r="Y10">
        <v>14.6</v>
      </c>
      <c r="AA10">
        <v>15.2</v>
      </c>
      <c r="AC10">
        <v>16.2</v>
      </c>
      <c r="AE10">
        <v>14.8</v>
      </c>
      <c r="AG10">
        <v>15.7</v>
      </c>
      <c r="AI10">
        <v>15.6</v>
      </c>
      <c r="AK10">
        <v>14.8</v>
      </c>
      <c r="AM10">
        <v>13.4</v>
      </c>
    </row>
    <row r="11" spans="1:39" x14ac:dyDescent="0.25">
      <c r="A11">
        <v>14.8</v>
      </c>
      <c r="C11">
        <v>15</v>
      </c>
      <c r="E11">
        <v>14.6</v>
      </c>
      <c r="G11">
        <v>14.4</v>
      </c>
      <c r="I11">
        <v>16</v>
      </c>
      <c r="K11">
        <v>15.95</v>
      </c>
      <c r="M11">
        <v>15</v>
      </c>
      <c r="O11">
        <v>14.8</v>
      </c>
      <c r="Q11">
        <v>14.4</v>
      </c>
      <c r="S11">
        <v>14.2</v>
      </c>
      <c r="U11">
        <v>15.35</v>
      </c>
      <c r="W11">
        <v>15</v>
      </c>
      <c r="Y11">
        <v>15.3</v>
      </c>
      <c r="AA11">
        <v>15.5</v>
      </c>
      <c r="AC11">
        <v>15</v>
      </c>
      <c r="AE11">
        <v>15.5</v>
      </c>
      <c r="AG11">
        <v>14.6</v>
      </c>
      <c r="AI11">
        <v>15</v>
      </c>
      <c r="AK11">
        <v>15.02</v>
      </c>
      <c r="AM11">
        <v>13.6</v>
      </c>
    </row>
    <row r="12" spans="1:39" x14ac:dyDescent="0.25">
      <c r="A12">
        <v>14.6</v>
      </c>
      <c r="C12">
        <v>15.3</v>
      </c>
      <c r="E12">
        <v>14.7</v>
      </c>
      <c r="G12">
        <v>14.8</v>
      </c>
      <c r="I12">
        <v>15.6</v>
      </c>
      <c r="K12">
        <v>16.05</v>
      </c>
      <c r="M12">
        <v>16.399999999999999</v>
      </c>
      <c r="O12">
        <v>15.4</v>
      </c>
      <c r="Q12">
        <v>14.7</v>
      </c>
      <c r="S12">
        <v>14.1</v>
      </c>
      <c r="U12">
        <v>15</v>
      </c>
      <c r="W12">
        <v>15.2</v>
      </c>
      <c r="Y12">
        <v>15.8</v>
      </c>
      <c r="AA12">
        <v>15.1</v>
      </c>
      <c r="AC12">
        <v>14.75</v>
      </c>
      <c r="AE12">
        <v>15.6</v>
      </c>
      <c r="AG12">
        <v>14.8</v>
      </c>
      <c r="AI12">
        <v>15.2</v>
      </c>
      <c r="AK12">
        <v>15.9</v>
      </c>
      <c r="AM12">
        <v>14.3</v>
      </c>
    </row>
    <row r="13" spans="1:39" x14ac:dyDescent="0.25">
      <c r="A13">
        <v>14.5</v>
      </c>
      <c r="C13">
        <v>14.4</v>
      </c>
      <c r="E13">
        <v>13.8</v>
      </c>
      <c r="G13">
        <v>14</v>
      </c>
      <c r="I13">
        <v>15.7</v>
      </c>
      <c r="K13">
        <v>16.399999999999999</v>
      </c>
      <c r="M13">
        <v>17.3</v>
      </c>
      <c r="O13">
        <v>16.2</v>
      </c>
      <c r="Q13">
        <v>14</v>
      </c>
      <c r="S13">
        <v>14.15</v>
      </c>
      <c r="U13">
        <v>15</v>
      </c>
      <c r="W13">
        <v>15.1</v>
      </c>
      <c r="Y13">
        <v>15.1</v>
      </c>
      <c r="AA13">
        <v>15.3</v>
      </c>
      <c r="AC13">
        <v>15.7</v>
      </c>
      <c r="AE13">
        <v>16</v>
      </c>
      <c r="AG13">
        <v>14.5</v>
      </c>
      <c r="AI13">
        <v>15.6</v>
      </c>
      <c r="AK13">
        <v>14.8</v>
      </c>
      <c r="AM13">
        <v>15.7</v>
      </c>
    </row>
    <row r="14" spans="1:39" x14ac:dyDescent="0.25">
      <c r="A14">
        <v>14.3</v>
      </c>
      <c r="C14">
        <v>17.3</v>
      </c>
      <c r="E14">
        <v>15</v>
      </c>
      <c r="G14">
        <v>13.8</v>
      </c>
      <c r="I14">
        <v>15.7</v>
      </c>
      <c r="K14">
        <v>15.8</v>
      </c>
      <c r="M14">
        <v>15.4</v>
      </c>
      <c r="O14">
        <v>15.4</v>
      </c>
      <c r="Q14">
        <v>15.55</v>
      </c>
      <c r="S14">
        <v>14.05</v>
      </c>
      <c r="U14">
        <v>14.85</v>
      </c>
      <c r="W14">
        <v>14.3</v>
      </c>
      <c r="Y14">
        <v>13.3</v>
      </c>
      <c r="AA14">
        <v>15.4</v>
      </c>
      <c r="AC14">
        <v>14.1</v>
      </c>
      <c r="AE14">
        <v>15.4</v>
      </c>
      <c r="AG14">
        <v>16</v>
      </c>
      <c r="AI14">
        <v>15.7</v>
      </c>
      <c r="AK14">
        <v>14.9</v>
      </c>
      <c r="AM14">
        <v>15.1</v>
      </c>
    </row>
    <row r="15" spans="1:39" x14ac:dyDescent="0.25">
      <c r="A15">
        <v>14.3</v>
      </c>
      <c r="C15">
        <v>14.6</v>
      </c>
      <c r="E15">
        <v>14.1</v>
      </c>
      <c r="G15">
        <v>15.7</v>
      </c>
      <c r="I15">
        <v>14.7</v>
      </c>
      <c r="K15">
        <v>16.100000000000001</v>
      </c>
      <c r="M15">
        <v>15.6</v>
      </c>
      <c r="O15">
        <v>15.3</v>
      </c>
      <c r="Q15">
        <v>14</v>
      </c>
      <c r="S15">
        <v>14.25</v>
      </c>
      <c r="U15">
        <v>14.3</v>
      </c>
      <c r="W15">
        <v>14.8</v>
      </c>
      <c r="Y15">
        <v>14.2</v>
      </c>
      <c r="AA15">
        <v>14.8</v>
      </c>
      <c r="AC15">
        <v>15</v>
      </c>
      <c r="AE15">
        <v>15.6</v>
      </c>
      <c r="AG15">
        <v>16.399999999999999</v>
      </c>
      <c r="AI15">
        <v>14.9</v>
      </c>
      <c r="AK15">
        <v>15.2</v>
      </c>
      <c r="AM15">
        <v>14.8</v>
      </c>
    </row>
    <row r="16" spans="1:39" x14ac:dyDescent="0.25">
      <c r="A16">
        <v>14.3</v>
      </c>
      <c r="C16">
        <v>14.5</v>
      </c>
      <c r="E16">
        <v>15.8</v>
      </c>
      <c r="G16">
        <v>15.2</v>
      </c>
      <c r="I16">
        <v>13.5</v>
      </c>
      <c r="K16">
        <v>14.6</v>
      </c>
      <c r="M16">
        <v>15.5</v>
      </c>
      <c r="O16">
        <v>14.2</v>
      </c>
      <c r="Q16">
        <v>15.9</v>
      </c>
      <c r="S16">
        <v>15.65</v>
      </c>
      <c r="U16">
        <v>15.5</v>
      </c>
      <c r="W16">
        <v>15.3</v>
      </c>
      <c r="Y16">
        <v>15.6</v>
      </c>
      <c r="AA16">
        <v>14.6</v>
      </c>
      <c r="AC16">
        <v>15.2</v>
      </c>
      <c r="AE16">
        <v>14.75</v>
      </c>
      <c r="AG16">
        <v>15.1</v>
      </c>
      <c r="AI16">
        <v>14.8</v>
      </c>
      <c r="AK16">
        <v>14.7</v>
      </c>
      <c r="AM16">
        <v>15.8</v>
      </c>
    </row>
    <row r="17" spans="1:39" x14ac:dyDescent="0.25">
      <c r="A17">
        <v>14.65</v>
      </c>
      <c r="C17">
        <v>14.2</v>
      </c>
      <c r="E17">
        <v>15.7</v>
      </c>
      <c r="G17">
        <v>14.4</v>
      </c>
      <c r="I17">
        <v>15.3</v>
      </c>
      <c r="K17">
        <v>14.1</v>
      </c>
      <c r="M17">
        <v>16.2</v>
      </c>
      <c r="O17">
        <v>14</v>
      </c>
      <c r="Q17">
        <v>15.1</v>
      </c>
      <c r="S17">
        <v>14.9</v>
      </c>
      <c r="U17">
        <v>16.399999999999999</v>
      </c>
      <c r="W17">
        <v>15</v>
      </c>
      <c r="Y17">
        <v>15.3</v>
      </c>
      <c r="AA17">
        <v>14.7</v>
      </c>
      <c r="AC17">
        <v>14.9</v>
      </c>
      <c r="AE17">
        <v>15</v>
      </c>
      <c r="AG17">
        <v>15</v>
      </c>
      <c r="AI17">
        <v>14.3</v>
      </c>
      <c r="AK17">
        <v>13.4</v>
      </c>
      <c r="AM17">
        <v>15.5</v>
      </c>
    </row>
    <row r="18" spans="1:39" x14ac:dyDescent="0.25">
      <c r="A18">
        <v>14.1</v>
      </c>
      <c r="C18">
        <v>15.3</v>
      </c>
      <c r="E18">
        <v>14.8</v>
      </c>
      <c r="G18">
        <v>15.1</v>
      </c>
      <c r="I18">
        <v>15.2</v>
      </c>
      <c r="K18">
        <v>14.7</v>
      </c>
      <c r="M18">
        <v>16</v>
      </c>
      <c r="O18">
        <v>14.3</v>
      </c>
      <c r="Q18">
        <v>14.6</v>
      </c>
      <c r="S18">
        <v>14.6</v>
      </c>
      <c r="U18">
        <v>15.3</v>
      </c>
      <c r="W18">
        <v>15.2</v>
      </c>
      <c r="Y18">
        <v>17.899999999999999</v>
      </c>
      <c r="AA18">
        <v>14.5</v>
      </c>
      <c r="AC18">
        <v>15</v>
      </c>
      <c r="AE18">
        <v>14.8</v>
      </c>
      <c r="AG18">
        <v>15.2</v>
      </c>
      <c r="AI18">
        <v>15.5</v>
      </c>
      <c r="AK18">
        <v>14</v>
      </c>
      <c r="AM18">
        <v>14.7</v>
      </c>
    </row>
    <row r="19" spans="1:39" x14ac:dyDescent="0.25">
      <c r="A19">
        <v>14.5</v>
      </c>
      <c r="C19">
        <v>15.2</v>
      </c>
      <c r="E19">
        <v>14.7</v>
      </c>
      <c r="G19">
        <v>14.8</v>
      </c>
      <c r="I19">
        <v>16.600000000000001</v>
      </c>
      <c r="K19">
        <v>15.5</v>
      </c>
      <c r="M19">
        <v>16.100000000000001</v>
      </c>
      <c r="O19">
        <v>14.2</v>
      </c>
      <c r="Q19">
        <v>15.75</v>
      </c>
      <c r="S19">
        <v>14.7</v>
      </c>
      <c r="U19">
        <v>15.4</v>
      </c>
      <c r="W19">
        <v>16</v>
      </c>
      <c r="Y19">
        <v>15.4</v>
      </c>
      <c r="AA19">
        <v>14.8</v>
      </c>
      <c r="AC19">
        <v>15.18</v>
      </c>
      <c r="AE19">
        <v>14.3</v>
      </c>
      <c r="AG19">
        <v>15</v>
      </c>
      <c r="AI19">
        <v>14.1</v>
      </c>
      <c r="AK19">
        <v>14.3</v>
      </c>
      <c r="AM19">
        <v>13.6</v>
      </c>
    </row>
    <row r="20" spans="1:39" x14ac:dyDescent="0.25">
      <c r="A20">
        <v>15.6</v>
      </c>
      <c r="C20">
        <v>14</v>
      </c>
      <c r="E20">
        <v>15.1</v>
      </c>
      <c r="G20">
        <v>14.7</v>
      </c>
      <c r="I20">
        <v>14.5</v>
      </c>
      <c r="K20">
        <v>15.65</v>
      </c>
      <c r="M20">
        <v>16.600000000000001</v>
      </c>
      <c r="O20">
        <v>15</v>
      </c>
      <c r="Q20">
        <v>15.2</v>
      </c>
      <c r="S20">
        <v>14.7</v>
      </c>
      <c r="U20">
        <v>14.4</v>
      </c>
      <c r="W20">
        <v>16</v>
      </c>
      <c r="Y20">
        <v>15.8</v>
      </c>
      <c r="AA20">
        <v>15.4</v>
      </c>
      <c r="AC20">
        <v>15.4</v>
      </c>
      <c r="AE20">
        <v>13.9</v>
      </c>
      <c r="AG20">
        <v>15.3</v>
      </c>
      <c r="AI20">
        <v>14.5</v>
      </c>
      <c r="AK20">
        <v>14.2</v>
      </c>
      <c r="AM20">
        <v>13.7</v>
      </c>
    </row>
    <row r="21" spans="1:39" x14ac:dyDescent="0.25">
      <c r="A21">
        <v>14.7</v>
      </c>
      <c r="C21">
        <v>15</v>
      </c>
      <c r="E21">
        <v>15</v>
      </c>
      <c r="G21">
        <v>15.5</v>
      </c>
      <c r="I21">
        <v>15</v>
      </c>
      <c r="K21">
        <v>15.75</v>
      </c>
      <c r="M21">
        <v>16.399999999999999</v>
      </c>
      <c r="O21">
        <v>15.5</v>
      </c>
      <c r="Q21">
        <v>15.2</v>
      </c>
      <c r="S21">
        <v>14.7</v>
      </c>
      <c r="U21">
        <v>14.8</v>
      </c>
      <c r="W21">
        <v>15.2</v>
      </c>
      <c r="Y21">
        <v>15.1</v>
      </c>
      <c r="AA21">
        <v>15.1</v>
      </c>
      <c r="AC21">
        <v>14.5</v>
      </c>
      <c r="AE21">
        <v>15.35</v>
      </c>
      <c r="AG21">
        <v>16.5</v>
      </c>
      <c r="AI21">
        <v>14.18</v>
      </c>
      <c r="AK21">
        <v>14.3</v>
      </c>
      <c r="AM21">
        <v>13.4</v>
      </c>
    </row>
    <row r="22" spans="1:39" x14ac:dyDescent="0.25">
      <c r="A22">
        <v>14.8</v>
      </c>
      <c r="C22">
        <v>14.8</v>
      </c>
      <c r="E22">
        <v>14.8</v>
      </c>
      <c r="G22">
        <v>14.6</v>
      </c>
      <c r="I22">
        <v>15.7</v>
      </c>
      <c r="K22">
        <v>15.75</v>
      </c>
      <c r="M22">
        <v>16.399999999999999</v>
      </c>
      <c r="O22">
        <v>15.9</v>
      </c>
      <c r="Q22">
        <v>14.9</v>
      </c>
      <c r="S22">
        <v>13.8</v>
      </c>
      <c r="U22">
        <v>14.6</v>
      </c>
      <c r="W22">
        <v>14.9</v>
      </c>
      <c r="Y22">
        <v>16.100000000000001</v>
      </c>
      <c r="AA22">
        <v>15.1</v>
      </c>
      <c r="AC22">
        <v>14.2</v>
      </c>
      <c r="AE22">
        <v>15.65</v>
      </c>
      <c r="AG22">
        <v>15.5</v>
      </c>
      <c r="AI22">
        <v>15.8</v>
      </c>
      <c r="AK22">
        <v>15.6</v>
      </c>
      <c r="AM22">
        <v>13.6</v>
      </c>
    </row>
    <row r="23" spans="1:39" x14ac:dyDescent="0.25">
      <c r="A23">
        <v>14.8</v>
      </c>
      <c r="C23">
        <v>14.9</v>
      </c>
      <c r="E23">
        <v>15.4</v>
      </c>
      <c r="G23">
        <v>16.3</v>
      </c>
      <c r="I23">
        <v>15.2</v>
      </c>
      <c r="K23">
        <v>15.5</v>
      </c>
      <c r="M23">
        <v>15.7</v>
      </c>
      <c r="O23">
        <v>15.4</v>
      </c>
      <c r="Q23">
        <v>14</v>
      </c>
      <c r="S23">
        <v>16</v>
      </c>
      <c r="U23">
        <v>15.3</v>
      </c>
      <c r="W23">
        <v>15.2</v>
      </c>
      <c r="Y23">
        <v>14.9</v>
      </c>
      <c r="AA23">
        <v>15.2</v>
      </c>
      <c r="AC23">
        <v>14.65</v>
      </c>
      <c r="AE23">
        <v>15.8</v>
      </c>
      <c r="AG23">
        <v>15.5</v>
      </c>
      <c r="AI23">
        <v>15.3</v>
      </c>
      <c r="AK23">
        <v>14.9</v>
      </c>
      <c r="AM23">
        <v>13.4</v>
      </c>
    </row>
    <row r="24" spans="1:39" x14ac:dyDescent="0.25">
      <c r="A24">
        <v>15.2</v>
      </c>
      <c r="C24">
        <v>14.7</v>
      </c>
      <c r="E24">
        <v>15.7</v>
      </c>
      <c r="G24">
        <v>15.1</v>
      </c>
      <c r="I24">
        <v>15.7</v>
      </c>
      <c r="K24">
        <v>12.8</v>
      </c>
      <c r="M24">
        <v>14.3</v>
      </c>
      <c r="O24">
        <v>15.5</v>
      </c>
      <c r="Q24">
        <v>14.3</v>
      </c>
      <c r="S24">
        <v>16.600000000000001</v>
      </c>
      <c r="U24">
        <v>14.8</v>
      </c>
      <c r="W24">
        <v>15</v>
      </c>
      <c r="Y24">
        <v>15.5</v>
      </c>
      <c r="AA24">
        <v>15.3</v>
      </c>
      <c r="AC24">
        <v>15.15</v>
      </c>
      <c r="AE24">
        <v>15.85</v>
      </c>
      <c r="AG24">
        <v>15.3</v>
      </c>
      <c r="AI24">
        <v>14.7</v>
      </c>
      <c r="AK24">
        <v>14.5</v>
      </c>
      <c r="AM24">
        <v>13.5</v>
      </c>
    </row>
    <row r="25" spans="1:39" x14ac:dyDescent="0.25">
      <c r="A25">
        <v>14.6</v>
      </c>
      <c r="C25">
        <v>14.9</v>
      </c>
      <c r="E25">
        <v>15.2</v>
      </c>
      <c r="G25">
        <v>16.600000000000001</v>
      </c>
      <c r="I25">
        <v>15.6</v>
      </c>
      <c r="K25">
        <v>15.5</v>
      </c>
      <c r="M25">
        <v>15.2</v>
      </c>
      <c r="O25">
        <v>15.17</v>
      </c>
      <c r="Q25">
        <v>14.6</v>
      </c>
      <c r="S25">
        <v>15.7</v>
      </c>
      <c r="U25">
        <v>15.2</v>
      </c>
      <c r="W25">
        <v>15</v>
      </c>
      <c r="Y25">
        <v>13.9</v>
      </c>
      <c r="AA25">
        <v>15.4</v>
      </c>
      <c r="AC25">
        <v>15.5</v>
      </c>
      <c r="AE25">
        <v>14.7</v>
      </c>
      <c r="AG25">
        <v>15.4</v>
      </c>
      <c r="AI25">
        <v>14.4</v>
      </c>
      <c r="AK25">
        <v>15.1</v>
      </c>
      <c r="AM25">
        <v>13.6</v>
      </c>
    </row>
    <row r="26" spans="1:39" x14ac:dyDescent="0.25">
      <c r="A26">
        <v>14.7</v>
      </c>
      <c r="C26">
        <v>15.1</v>
      </c>
      <c r="E26">
        <v>14.6</v>
      </c>
      <c r="G26">
        <v>15.3</v>
      </c>
      <c r="I26">
        <v>16.399999999999999</v>
      </c>
      <c r="K26">
        <v>15.95</v>
      </c>
      <c r="M26">
        <v>16.2</v>
      </c>
      <c r="O26">
        <v>15.8</v>
      </c>
      <c r="Q26">
        <v>14.5</v>
      </c>
      <c r="S26">
        <v>13.4</v>
      </c>
      <c r="U26">
        <v>14.55</v>
      </c>
      <c r="W26">
        <v>15.4</v>
      </c>
      <c r="Y26">
        <v>15.8</v>
      </c>
      <c r="AA26">
        <v>15.2</v>
      </c>
      <c r="AC26">
        <v>14.9</v>
      </c>
      <c r="AE26">
        <v>15.7</v>
      </c>
      <c r="AG26">
        <v>15.15</v>
      </c>
      <c r="AI26">
        <v>15.7</v>
      </c>
      <c r="AK26">
        <v>15.03</v>
      </c>
      <c r="AM26">
        <v>13.8</v>
      </c>
    </row>
    <row r="27" spans="1:39" x14ac:dyDescent="0.25">
      <c r="A27">
        <v>14.6</v>
      </c>
      <c r="C27">
        <v>15.2</v>
      </c>
      <c r="E27">
        <v>13.1</v>
      </c>
      <c r="G27">
        <v>15.1</v>
      </c>
      <c r="I27">
        <v>15.6</v>
      </c>
      <c r="K27">
        <v>16</v>
      </c>
      <c r="M27">
        <v>16.100000000000001</v>
      </c>
      <c r="O27">
        <v>14.9</v>
      </c>
      <c r="Q27">
        <v>14.8</v>
      </c>
      <c r="S27">
        <v>14.8</v>
      </c>
      <c r="U27">
        <v>14.45</v>
      </c>
      <c r="W27">
        <v>15.2</v>
      </c>
      <c r="Y27">
        <v>16.2</v>
      </c>
      <c r="AA27">
        <v>15.3</v>
      </c>
      <c r="AC27">
        <v>15.9</v>
      </c>
      <c r="AE27">
        <v>15.9</v>
      </c>
      <c r="AG27">
        <v>14.8</v>
      </c>
      <c r="AI27">
        <v>16.600000000000001</v>
      </c>
      <c r="AK27">
        <v>15.3</v>
      </c>
      <c r="AM27">
        <v>13.3</v>
      </c>
    </row>
    <row r="28" spans="1:39" x14ac:dyDescent="0.25">
      <c r="A28">
        <v>14.2</v>
      </c>
      <c r="C28">
        <v>14.5</v>
      </c>
      <c r="E28">
        <v>14.3</v>
      </c>
      <c r="G28">
        <v>15.6</v>
      </c>
      <c r="I28">
        <v>16.100000000000001</v>
      </c>
      <c r="K28">
        <v>15.9</v>
      </c>
      <c r="M28">
        <v>16.95</v>
      </c>
      <c r="O28">
        <v>14.9</v>
      </c>
      <c r="Q28">
        <v>13.9</v>
      </c>
      <c r="S28">
        <v>14.05</v>
      </c>
      <c r="U28">
        <v>14.85</v>
      </c>
      <c r="W28">
        <v>15.1</v>
      </c>
      <c r="Y28">
        <v>14.5</v>
      </c>
      <c r="AA28">
        <v>15.3</v>
      </c>
      <c r="AC28">
        <v>15.55</v>
      </c>
      <c r="AE28">
        <v>15.8</v>
      </c>
      <c r="AG28">
        <v>14.65</v>
      </c>
      <c r="AI28">
        <v>17.3</v>
      </c>
      <c r="AK28">
        <v>13.8</v>
      </c>
      <c r="AM28">
        <v>15.4</v>
      </c>
    </row>
    <row r="29" spans="1:39" x14ac:dyDescent="0.25">
      <c r="A29">
        <v>14.3</v>
      </c>
      <c r="C29">
        <v>15.6</v>
      </c>
      <c r="E29">
        <v>14.7</v>
      </c>
      <c r="G29">
        <v>15.1</v>
      </c>
      <c r="I29">
        <v>15.1</v>
      </c>
      <c r="K29">
        <v>16.7</v>
      </c>
      <c r="M29">
        <v>15.35</v>
      </c>
      <c r="O29">
        <v>15.3</v>
      </c>
      <c r="Q29">
        <v>14.8</v>
      </c>
      <c r="S29">
        <v>14.3</v>
      </c>
      <c r="U29">
        <v>15.15</v>
      </c>
      <c r="W29">
        <v>15.3</v>
      </c>
      <c r="Y29">
        <v>13.2</v>
      </c>
      <c r="AA29">
        <v>14.7</v>
      </c>
      <c r="AC29">
        <v>14.35</v>
      </c>
      <c r="AE29">
        <v>15.7</v>
      </c>
      <c r="AG29">
        <v>16</v>
      </c>
      <c r="AI29">
        <v>15.15</v>
      </c>
      <c r="AK29">
        <v>15.1</v>
      </c>
      <c r="AM29">
        <v>14.7</v>
      </c>
    </row>
    <row r="30" spans="1:39" x14ac:dyDescent="0.25">
      <c r="A30">
        <v>14.4</v>
      </c>
      <c r="C30">
        <v>14.4</v>
      </c>
      <c r="E30">
        <v>13.2</v>
      </c>
      <c r="G30">
        <v>13.7</v>
      </c>
      <c r="I30">
        <v>17.2</v>
      </c>
      <c r="K30">
        <v>16.399999999999999</v>
      </c>
      <c r="M30">
        <v>15.65</v>
      </c>
      <c r="O30">
        <v>15.3</v>
      </c>
      <c r="Q30">
        <v>15.2</v>
      </c>
      <c r="S30">
        <v>14.3</v>
      </c>
      <c r="U30">
        <v>15.5</v>
      </c>
      <c r="W30">
        <v>15</v>
      </c>
      <c r="Y30">
        <v>12.8</v>
      </c>
      <c r="AA30">
        <v>15.8</v>
      </c>
      <c r="AC30">
        <v>15.15</v>
      </c>
      <c r="AE30">
        <v>15.5</v>
      </c>
      <c r="AG30">
        <v>15.5</v>
      </c>
      <c r="AI30">
        <v>15.5</v>
      </c>
      <c r="AK30">
        <v>14.4</v>
      </c>
      <c r="AM30">
        <v>15</v>
      </c>
    </row>
    <row r="31" spans="1:39" x14ac:dyDescent="0.25">
      <c r="A31">
        <v>14.5</v>
      </c>
      <c r="C31">
        <v>14</v>
      </c>
      <c r="E31">
        <v>16</v>
      </c>
      <c r="G31">
        <v>14</v>
      </c>
      <c r="I31">
        <v>14.18</v>
      </c>
      <c r="K31">
        <v>14.5</v>
      </c>
      <c r="M31">
        <v>16.600000000000001</v>
      </c>
      <c r="O31">
        <v>14.9</v>
      </c>
      <c r="Q31">
        <v>14.3</v>
      </c>
      <c r="S31">
        <v>14.95</v>
      </c>
      <c r="U31">
        <v>5.15</v>
      </c>
      <c r="W31">
        <v>15.9</v>
      </c>
      <c r="Y31">
        <v>15.2</v>
      </c>
      <c r="AA31">
        <v>14.3</v>
      </c>
      <c r="AC31">
        <v>15.8</v>
      </c>
      <c r="AE31">
        <v>15.15</v>
      </c>
      <c r="AG31">
        <v>15.3</v>
      </c>
      <c r="AI31">
        <v>15.1</v>
      </c>
      <c r="AK31">
        <v>13.7</v>
      </c>
      <c r="AM31">
        <v>15.4</v>
      </c>
    </row>
    <row r="32" spans="1:39" x14ac:dyDescent="0.25">
      <c r="A32">
        <v>14.8</v>
      </c>
      <c r="C32">
        <v>14.2</v>
      </c>
      <c r="E32">
        <v>14.9</v>
      </c>
      <c r="G32">
        <v>15.5</v>
      </c>
      <c r="I32">
        <v>15.8</v>
      </c>
      <c r="K32">
        <v>14.5</v>
      </c>
      <c r="M32">
        <v>16.100000000000001</v>
      </c>
      <c r="O32">
        <v>16.8</v>
      </c>
      <c r="Q32">
        <v>15.1</v>
      </c>
      <c r="S32">
        <v>14.9</v>
      </c>
      <c r="U32">
        <v>14.8</v>
      </c>
      <c r="W32">
        <v>15.1</v>
      </c>
      <c r="Y32">
        <v>15.2</v>
      </c>
      <c r="AA32">
        <v>14.6</v>
      </c>
      <c r="AC32">
        <v>14.7</v>
      </c>
      <c r="AE32">
        <v>14.9</v>
      </c>
      <c r="AG32">
        <v>15.1</v>
      </c>
      <c r="AI32">
        <v>15.5</v>
      </c>
      <c r="AK32">
        <v>13.9</v>
      </c>
      <c r="AM32">
        <v>14.4</v>
      </c>
    </row>
    <row r="33" spans="1:39" x14ac:dyDescent="0.25">
      <c r="A33">
        <v>14</v>
      </c>
      <c r="C33">
        <v>14.8</v>
      </c>
      <c r="E33">
        <v>15.5</v>
      </c>
      <c r="G33">
        <v>14.8</v>
      </c>
      <c r="I33">
        <v>15</v>
      </c>
      <c r="K33">
        <v>14.55</v>
      </c>
      <c r="M33">
        <v>16.2</v>
      </c>
      <c r="O33">
        <v>14.9</v>
      </c>
      <c r="Q33">
        <v>14.6</v>
      </c>
      <c r="S33">
        <v>14.6</v>
      </c>
      <c r="U33">
        <v>14.4</v>
      </c>
      <c r="W33">
        <v>15.2</v>
      </c>
      <c r="Y33">
        <v>15.3</v>
      </c>
      <c r="AA33">
        <v>14.6</v>
      </c>
      <c r="AC33">
        <v>15.3</v>
      </c>
      <c r="AE33">
        <v>14.9</v>
      </c>
      <c r="AG33">
        <v>15.5</v>
      </c>
      <c r="AI33">
        <v>14.8</v>
      </c>
      <c r="AK33">
        <v>14.1</v>
      </c>
      <c r="AM33">
        <v>14.1</v>
      </c>
    </row>
    <row r="34" spans="1:39" x14ac:dyDescent="0.25">
      <c r="A34">
        <v>15</v>
      </c>
      <c r="C34">
        <v>14.9</v>
      </c>
      <c r="E34">
        <v>15.7</v>
      </c>
      <c r="G34">
        <v>14.4</v>
      </c>
      <c r="I34">
        <v>14.4</v>
      </c>
      <c r="K34">
        <v>15</v>
      </c>
      <c r="M34">
        <v>16.7</v>
      </c>
      <c r="O34">
        <v>14.5</v>
      </c>
      <c r="Q34">
        <v>16.149999999999999</v>
      </c>
      <c r="S34">
        <v>14.8</v>
      </c>
      <c r="U34">
        <v>16.7</v>
      </c>
      <c r="W34">
        <v>16</v>
      </c>
      <c r="Y34">
        <v>15.2</v>
      </c>
      <c r="AA34">
        <v>15</v>
      </c>
      <c r="AC34">
        <v>15.2</v>
      </c>
      <c r="AE34">
        <v>14.3</v>
      </c>
      <c r="AG34">
        <v>14.5</v>
      </c>
      <c r="AI34">
        <v>14.9</v>
      </c>
      <c r="AK34">
        <v>13.9</v>
      </c>
      <c r="AM34">
        <v>13.8</v>
      </c>
    </row>
    <row r="35" spans="1:39" x14ac:dyDescent="0.25">
      <c r="A35">
        <v>15.7</v>
      </c>
      <c r="C35">
        <v>14.2</v>
      </c>
      <c r="E35">
        <v>15</v>
      </c>
      <c r="G35">
        <v>14.1</v>
      </c>
      <c r="I35">
        <v>14.7</v>
      </c>
      <c r="K35">
        <v>15.85</v>
      </c>
      <c r="M35">
        <v>16.7</v>
      </c>
      <c r="O35">
        <v>14</v>
      </c>
      <c r="Q35">
        <v>15</v>
      </c>
      <c r="S35">
        <v>14.7</v>
      </c>
      <c r="U35">
        <v>15.3</v>
      </c>
      <c r="W35">
        <v>16.2</v>
      </c>
      <c r="Y35">
        <v>15.5</v>
      </c>
      <c r="AA35">
        <v>15.4</v>
      </c>
      <c r="AC35">
        <v>15.3</v>
      </c>
      <c r="AE35">
        <v>14</v>
      </c>
      <c r="AG35">
        <v>14.9</v>
      </c>
      <c r="AI35">
        <v>14.9</v>
      </c>
      <c r="AK35">
        <v>14.6</v>
      </c>
      <c r="AM35">
        <v>13.7</v>
      </c>
    </row>
    <row r="36" spans="1:39" x14ac:dyDescent="0.25">
      <c r="A36">
        <v>14.7</v>
      </c>
      <c r="C36">
        <v>14.7</v>
      </c>
      <c r="E36">
        <v>14.9</v>
      </c>
      <c r="G36">
        <v>14.8</v>
      </c>
      <c r="I36">
        <v>14.7</v>
      </c>
      <c r="K36">
        <v>15.85</v>
      </c>
      <c r="M36">
        <v>16.5</v>
      </c>
      <c r="O36">
        <v>14</v>
      </c>
      <c r="Q36">
        <v>15.2</v>
      </c>
      <c r="S36">
        <v>14.2</v>
      </c>
      <c r="U36">
        <v>14.8</v>
      </c>
      <c r="W36">
        <v>15.4</v>
      </c>
      <c r="Y36">
        <v>14.7</v>
      </c>
      <c r="AA36">
        <v>15</v>
      </c>
      <c r="AC36">
        <v>15</v>
      </c>
      <c r="AE36">
        <v>15.75</v>
      </c>
      <c r="AG36">
        <v>15.2</v>
      </c>
      <c r="AI36">
        <v>15.2</v>
      </c>
      <c r="AK36">
        <v>14.7</v>
      </c>
      <c r="AM36">
        <v>13.3</v>
      </c>
    </row>
    <row r="37" spans="1:39" x14ac:dyDescent="0.25">
      <c r="A37">
        <v>15</v>
      </c>
      <c r="C37">
        <v>15</v>
      </c>
      <c r="E37">
        <v>14.9</v>
      </c>
      <c r="G37">
        <v>14.5</v>
      </c>
      <c r="I37">
        <v>16.600000000000001</v>
      </c>
      <c r="K37">
        <v>15.7</v>
      </c>
      <c r="M37">
        <v>16.3</v>
      </c>
      <c r="O37">
        <v>15.4</v>
      </c>
      <c r="Q37">
        <v>15.2</v>
      </c>
      <c r="S37">
        <v>14</v>
      </c>
      <c r="U37">
        <v>15.2</v>
      </c>
      <c r="W37">
        <v>15.7</v>
      </c>
      <c r="Y37">
        <v>15.7</v>
      </c>
      <c r="AA37">
        <v>15.1</v>
      </c>
      <c r="AC37">
        <v>14.9</v>
      </c>
      <c r="AE37">
        <v>15.6</v>
      </c>
      <c r="AG37">
        <v>15.6</v>
      </c>
      <c r="AI37">
        <v>14.9</v>
      </c>
      <c r="AK37">
        <v>15.4</v>
      </c>
      <c r="AM37">
        <v>13.6</v>
      </c>
    </row>
    <row r="38" spans="1:39" x14ac:dyDescent="0.25">
      <c r="A38">
        <v>14.2</v>
      </c>
      <c r="C38">
        <v>13.2</v>
      </c>
      <c r="E38">
        <v>16.399999999999999</v>
      </c>
      <c r="G38">
        <v>14.9</v>
      </c>
      <c r="I38">
        <v>15.6</v>
      </c>
      <c r="K38">
        <v>15.05</v>
      </c>
      <c r="M38">
        <v>14.1</v>
      </c>
      <c r="O38">
        <v>14.6</v>
      </c>
      <c r="Q38">
        <v>14.7</v>
      </c>
      <c r="S38">
        <v>16</v>
      </c>
      <c r="U38">
        <v>14.7</v>
      </c>
      <c r="W38">
        <v>14.8</v>
      </c>
      <c r="Y38">
        <v>14.1</v>
      </c>
      <c r="AA38">
        <v>15.2</v>
      </c>
      <c r="AC38">
        <v>14.75</v>
      </c>
      <c r="AE38">
        <v>15.9</v>
      </c>
      <c r="AG38">
        <v>15.7</v>
      </c>
      <c r="AI38">
        <v>14.5</v>
      </c>
      <c r="AK38">
        <v>15.1</v>
      </c>
      <c r="AM38">
        <v>13.3</v>
      </c>
    </row>
    <row r="39" spans="1:39" x14ac:dyDescent="0.25">
      <c r="A39">
        <v>14.9</v>
      </c>
      <c r="C39">
        <v>15.1</v>
      </c>
      <c r="E39">
        <v>15.7</v>
      </c>
      <c r="G39">
        <v>15</v>
      </c>
      <c r="I39">
        <v>15.4</v>
      </c>
      <c r="K39">
        <v>15.8</v>
      </c>
      <c r="M39">
        <v>16</v>
      </c>
      <c r="O39">
        <v>15.6</v>
      </c>
      <c r="Q39">
        <v>14.5</v>
      </c>
      <c r="S39">
        <v>16.2</v>
      </c>
      <c r="U39">
        <v>14.9</v>
      </c>
      <c r="W39">
        <v>15.1</v>
      </c>
      <c r="Y39">
        <v>15.1</v>
      </c>
      <c r="AA39">
        <v>15.4</v>
      </c>
      <c r="AC39">
        <v>14.65</v>
      </c>
      <c r="AE39">
        <v>15.6</v>
      </c>
      <c r="AG39">
        <v>15.3</v>
      </c>
      <c r="AI39">
        <v>14.14</v>
      </c>
      <c r="AK39">
        <v>14.9</v>
      </c>
      <c r="AM39">
        <v>13.9</v>
      </c>
    </row>
    <row r="40" spans="1:39" x14ac:dyDescent="0.25">
      <c r="A40">
        <v>15.6</v>
      </c>
      <c r="C40">
        <v>15.1</v>
      </c>
      <c r="E40">
        <v>15.6</v>
      </c>
      <c r="G40">
        <v>14.2</v>
      </c>
      <c r="I40">
        <v>16.600000000000001</v>
      </c>
      <c r="K40">
        <v>15.75</v>
      </c>
      <c r="M40">
        <v>15.3</v>
      </c>
      <c r="O40">
        <v>15.5</v>
      </c>
      <c r="Q40">
        <v>14.3</v>
      </c>
      <c r="S40">
        <v>15.6</v>
      </c>
      <c r="U40">
        <v>15.3</v>
      </c>
      <c r="W40">
        <v>15</v>
      </c>
      <c r="Y40">
        <v>14.6</v>
      </c>
      <c r="AA40">
        <v>15.3</v>
      </c>
      <c r="AC40">
        <v>15.25</v>
      </c>
      <c r="AE40">
        <v>15.2</v>
      </c>
      <c r="AG40">
        <v>14.5</v>
      </c>
      <c r="AI40">
        <v>16.899999999999999</v>
      </c>
      <c r="AK40">
        <v>15.6</v>
      </c>
      <c r="AM40">
        <v>13.4</v>
      </c>
    </row>
    <row r="41" spans="1:39" x14ac:dyDescent="0.25">
      <c r="A41">
        <v>14.4</v>
      </c>
      <c r="C41">
        <v>14.9</v>
      </c>
      <c r="E41">
        <v>15.5</v>
      </c>
      <c r="G41">
        <v>16.3</v>
      </c>
      <c r="I41">
        <v>15.4</v>
      </c>
      <c r="K41">
        <v>16.7</v>
      </c>
      <c r="M41">
        <v>15.5</v>
      </c>
      <c r="O41">
        <v>15.6</v>
      </c>
      <c r="Q41">
        <v>14.5</v>
      </c>
      <c r="S41">
        <v>13.8</v>
      </c>
      <c r="U41">
        <v>14.6</v>
      </c>
      <c r="W41">
        <v>14.9</v>
      </c>
      <c r="Y41">
        <v>15.4</v>
      </c>
      <c r="AA41">
        <v>15.1</v>
      </c>
      <c r="AC41">
        <v>15.9</v>
      </c>
      <c r="AE41">
        <v>14.7</v>
      </c>
      <c r="AG41">
        <v>16.600000000000001</v>
      </c>
      <c r="AI41">
        <v>15.1</v>
      </c>
      <c r="AK41">
        <v>15.3</v>
      </c>
      <c r="AM41">
        <v>13.9</v>
      </c>
    </row>
    <row r="42" spans="1:39" x14ac:dyDescent="0.25">
      <c r="A42">
        <v>14.6</v>
      </c>
      <c r="C42">
        <v>16.3</v>
      </c>
      <c r="E42">
        <v>14.6</v>
      </c>
      <c r="G42">
        <v>14.9</v>
      </c>
      <c r="I42">
        <v>15.5</v>
      </c>
      <c r="K42">
        <v>16.2</v>
      </c>
      <c r="M42">
        <v>16.399999999999999</v>
      </c>
      <c r="O42">
        <v>16.100000000000001</v>
      </c>
      <c r="Q42">
        <v>14.7</v>
      </c>
      <c r="S42">
        <v>14.5</v>
      </c>
      <c r="U42">
        <v>14.9</v>
      </c>
      <c r="W42">
        <v>15.7</v>
      </c>
      <c r="Y42">
        <v>17.600000000000001</v>
      </c>
      <c r="AA42">
        <v>15.2</v>
      </c>
      <c r="AC42">
        <v>15.15</v>
      </c>
      <c r="AE42">
        <v>15.5</v>
      </c>
      <c r="AG42">
        <v>15.05</v>
      </c>
      <c r="AI42">
        <v>15.3</v>
      </c>
      <c r="AK42">
        <v>15.6</v>
      </c>
      <c r="AM42">
        <v>15.1</v>
      </c>
    </row>
    <row r="43" spans="1:39" x14ac:dyDescent="0.25">
      <c r="A43">
        <v>14.5</v>
      </c>
      <c r="C43">
        <v>13.2</v>
      </c>
      <c r="E43">
        <v>13.8</v>
      </c>
      <c r="G43">
        <v>16.100000000000001</v>
      </c>
      <c r="I43">
        <v>15.7</v>
      </c>
      <c r="K43">
        <v>15.9</v>
      </c>
      <c r="M43">
        <v>16.7</v>
      </c>
      <c r="O43">
        <v>16.5</v>
      </c>
      <c r="Q43">
        <v>14.9</v>
      </c>
      <c r="S43">
        <v>13.9</v>
      </c>
      <c r="U43">
        <v>14.85</v>
      </c>
      <c r="W43">
        <v>15.6</v>
      </c>
      <c r="Y43">
        <v>13.7</v>
      </c>
      <c r="AA43">
        <v>15.5</v>
      </c>
      <c r="AC43">
        <v>15.15</v>
      </c>
      <c r="AE43">
        <v>15.2</v>
      </c>
      <c r="AG43">
        <v>14.3</v>
      </c>
      <c r="AI43">
        <v>14.6</v>
      </c>
      <c r="AK43">
        <v>14.2</v>
      </c>
      <c r="AM43">
        <v>15.4</v>
      </c>
    </row>
    <row r="44" spans="1:39" x14ac:dyDescent="0.25">
      <c r="A44">
        <v>14.3</v>
      </c>
      <c r="C44">
        <v>17.100000000000001</v>
      </c>
      <c r="E44">
        <v>15.1</v>
      </c>
      <c r="G44">
        <v>15.9</v>
      </c>
      <c r="I44">
        <v>15.8</v>
      </c>
      <c r="K44">
        <v>16.3</v>
      </c>
      <c r="M44">
        <v>15.6</v>
      </c>
      <c r="O44">
        <v>16.100000000000001</v>
      </c>
      <c r="Q44">
        <v>14.4</v>
      </c>
      <c r="S44">
        <v>14.25</v>
      </c>
      <c r="U44">
        <v>14.1</v>
      </c>
      <c r="W44">
        <v>15.2</v>
      </c>
      <c r="Y44">
        <v>13.4</v>
      </c>
      <c r="AA44">
        <v>14.6</v>
      </c>
      <c r="AC44">
        <v>14.65</v>
      </c>
      <c r="AE44">
        <v>15.4</v>
      </c>
      <c r="AG44">
        <v>15.8</v>
      </c>
      <c r="AI44">
        <v>14.4</v>
      </c>
      <c r="AK44">
        <v>14.6</v>
      </c>
      <c r="AM44">
        <v>14.8</v>
      </c>
    </row>
    <row r="45" spans="1:39" x14ac:dyDescent="0.25">
      <c r="A45">
        <v>14.7</v>
      </c>
      <c r="C45">
        <v>14.2</v>
      </c>
      <c r="E45">
        <v>16</v>
      </c>
      <c r="G45">
        <v>15.2</v>
      </c>
      <c r="I45">
        <v>15.4</v>
      </c>
      <c r="K45">
        <v>15.9</v>
      </c>
      <c r="M45">
        <v>15.6</v>
      </c>
      <c r="O45">
        <v>14.4</v>
      </c>
      <c r="Q45">
        <v>14.3</v>
      </c>
      <c r="S45">
        <v>14.25</v>
      </c>
      <c r="U45">
        <v>14.15</v>
      </c>
      <c r="W45">
        <v>14.7</v>
      </c>
      <c r="Y45">
        <v>14.1</v>
      </c>
      <c r="AA45">
        <v>14.6</v>
      </c>
      <c r="AC45">
        <v>15.15</v>
      </c>
      <c r="AE45">
        <v>15.3</v>
      </c>
      <c r="AG45">
        <v>16.7</v>
      </c>
      <c r="AI45">
        <v>15.9</v>
      </c>
      <c r="AK45">
        <v>14.8</v>
      </c>
      <c r="AM45">
        <v>15.7</v>
      </c>
    </row>
    <row r="46" spans="1:39" x14ac:dyDescent="0.25">
      <c r="A46">
        <v>14.7</v>
      </c>
      <c r="C46">
        <v>14.3</v>
      </c>
      <c r="E46">
        <v>15.9</v>
      </c>
      <c r="G46">
        <v>14.9</v>
      </c>
      <c r="I46">
        <v>15.4</v>
      </c>
      <c r="K46">
        <v>14.6</v>
      </c>
      <c r="M46">
        <v>15.3</v>
      </c>
      <c r="O46">
        <v>14.7</v>
      </c>
      <c r="Q46">
        <v>14.45</v>
      </c>
      <c r="S46">
        <v>14.7</v>
      </c>
      <c r="U46">
        <v>13.75</v>
      </c>
      <c r="W46">
        <v>15.6</v>
      </c>
      <c r="Y46">
        <v>15.5</v>
      </c>
      <c r="AA46">
        <v>14.9</v>
      </c>
      <c r="AC46">
        <v>15</v>
      </c>
      <c r="AE46">
        <v>15.25</v>
      </c>
      <c r="AG46">
        <v>15.8</v>
      </c>
      <c r="AI46">
        <v>17.7</v>
      </c>
      <c r="AK46">
        <v>13.5</v>
      </c>
      <c r="AM46">
        <v>14.9</v>
      </c>
    </row>
    <row r="47" spans="1:39" x14ac:dyDescent="0.25">
      <c r="A47">
        <v>15.3</v>
      </c>
      <c r="C47">
        <v>14</v>
      </c>
      <c r="E47">
        <v>15.6</v>
      </c>
      <c r="G47">
        <v>14.8</v>
      </c>
      <c r="I47">
        <v>15.4</v>
      </c>
      <c r="K47">
        <v>14</v>
      </c>
      <c r="M47">
        <v>15.7</v>
      </c>
      <c r="O47">
        <v>15.2</v>
      </c>
      <c r="Q47">
        <v>15.15</v>
      </c>
      <c r="S47">
        <v>14.8</v>
      </c>
      <c r="U47">
        <v>15.05</v>
      </c>
      <c r="W47">
        <v>15.6</v>
      </c>
      <c r="Y47">
        <v>15.2</v>
      </c>
      <c r="AA47">
        <v>14.5</v>
      </c>
      <c r="AC47">
        <v>14.6</v>
      </c>
      <c r="AE47">
        <v>14.95</v>
      </c>
      <c r="AG47">
        <v>15</v>
      </c>
      <c r="AI47">
        <v>15</v>
      </c>
      <c r="AK47">
        <v>13.9</v>
      </c>
      <c r="AM47">
        <v>14.9</v>
      </c>
    </row>
    <row r="48" spans="1:39" x14ac:dyDescent="0.25">
      <c r="A48">
        <v>14.2</v>
      </c>
      <c r="C48">
        <v>14.9</v>
      </c>
      <c r="E48">
        <v>16.100000000000001</v>
      </c>
      <c r="G48">
        <v>12.6</v>
      </c>
      <c r="I48">
        <v>15.7</v>
      </c>
      <c r="K48">
        <v>15.75</v>
      </c>
      <c r="M48">
        <v>16.100000000000001</v>
      </c>
      <c r="O48">
        <v>15.1</v>
      </c>
      <c r="Q48">
        <v>14.4</v>
      </c>
      <c r="S48">
        <v>15.1</v>
      </c>
      <c r="U48">
        <v>14.65</v>
      </c>
      <c r="W48">
        <v>15.4</v>
      </c>
      <c r="Y48">
        <v>14.7</v>
      </c>
      <c r="AA48">
        <v>14.6</v>
      </c>
      <c r="AC48">
        <v>14.9</v>
      </c>
      <c r="AE48">
        <v>14.4</v>
      </c>
      <c r="AG48">
        <v>15</v>
      </c>
      <c r="AI48">
        <v>15.6</v>
      </c>
      <c r="AK48">
        <v>14.1</v>
      </c>
      <c r="AM48">
        <v>13.7</v>
      </c>
    </row>
    <row r="49" spans="1:39" x14ac:dyDescent="0.25">
      <c r="A49">
        <v>14.6</v>
      </c>
      <c r="C49">
        <v>14.6</v>
      </c>
      <c r="E49">
        <v>15.5</v>
      </c>
      <c r="G49">
        <v>13.9</v>
      </c>
      <c r="I49">
        <v>15.6</v>
      </c>
      <c r="K49">
        <v>15.5</v>
      </c>
      <c r="M49">
        <v>16.3</v>
      </c>
      <c r="O49">
        <v>15.3</v>
      </c>
      <c r="Q49">
        <v>16.2</v>
      </c>
      <c r="S49">
        <v>14.7</v>
      </c>
      <c r="U49">
        <v>15.15</v>
      </c>
      <c r="W49">
        <v>16</v>
      </c>
      <c r="Y49">
        <v>14.9</v>
      </c>
      <c r="AA49">
        <v>15.6</v>
      </c>
      <c r="AC49">
        <v>15</v>
      </c>
      <c r="AE49">
        <v>14.4</v>
      </c>
      <c r="AG49">
        <v>14.9</v>
      </c>
      <c r="AI49">
        <v>15</v>
      </c>
      <c r="AK49">
        <v>14.7</v>
      </c>
      <c r="AM49">
        <v>13.6</v>
      </c>
    </row>
    <row r="50" spans="1:39" x14ac:dyDescent="0.25">
      <c r="A50">
        <v>15.4</v>
      </c>
      <c r="C50">
        <v>14</v>
      </c>
      <c r="E50">
        <v>15</v>
      </c>
      <c r="G50">
        <v>13.8</v>
      </c>
      <c r="I50">
        <v>17</v>
      </c>
      <c r="K50">
        <v>15.95</v>
      </c>
      <c r="M50">
        <v>16.2</v>
      </c>
      <c r="O50">
        <v>15.2</v>
      </c>
      <c r="Q50">
        <v>15.1</v>
      </c>
      <c r="S50">
        <v>14.8</v>
      </c>
      <c r="U50">
        <v>14.8</v>
      </c>
      <c r="W50">
        <v>16.3</v>
      </c>
      <c r="Y50">
        <v>15.6</v>
      </c>
      <c r="AA50">
        <v>15.4</v>
      </c>
      <c r="AC50">
        <v>16.7</v>
      </c>
      <c r="AE50">
        <v>14</v>
      </c>
      <c r="AG50">
        <v>15</v>
      </c>
      <c r="AI50">
        <v>14.4</v>
      </c>
      <c r="AK50">
        <v>14.4</v>
      </c>
      <c r="AM50">
        <v>13.5</v>
      </c>
    </row>
    <row r="51" spans="1:39" x14ac:dyDescent="0.25">
      <c r="A51">
        <v>14.7</v>
      </c>
      <c r="C51">
        <v>14.4</v>
      </c>
      <c r="E51">
        <v>15</v>
      </c>
      <c r="G51">
        <v>14.4</v>
      </c>
      <c r="I51">
        <v>14.8</v>
      </c>
      <c r="K51">
        <v>15.55</v>
      </c>
      <c r="M51">
        <v>16.399999999999999</v>
      </c>
      <c r="O51">
        <v>15.1</v>
      </c>
      <c r="Q51">
        <v>15.2</v>
      </c>
      <c r="S51">
        <v>14.1</v>
      </c>
      <c r="U51">
        <v>13.8</v>
      </c>
      <c r="W51">
        <v>15</v>
      </c>
      <c r="Y51">
        <v>14.7</v>
      </c>
      <c r="AA51">
        <v>15.1</v>
      </c>
      <c r="AC51">
        <v>15.6</v>
      </c>
      <c r="AE51">
        <v>15.5</v>
      </c>
      <c r="AG51">
        <v>15.4</v>
      </c>
      <c r="AI51">
        <v>15.3</v>
      </c>
      <c r="AK51">
        <v>15.3</v>
      </c>
      <c r="AM51">
        <v>13.6</v>
      </c>
    </row>
    <row r="52" spans="1:39" x14ac:dyDescent="0.25">
      <c r="A52">
        <v>14.5</v>
      </c>
      <c r="C52">
        <v>14.6</v>
      </c>
      <c r="E52">
        <v>15.1</v>
      </c>
      <c r="G52">
        <v>16.399999999999999</v>
      </c>
      <c r="I52">
        <v>15.6</v>
      </c>
      <c r="K52">
        <v>15.8</v>
      </c>
      <c r="M52">
        <v>16.100000000000001</v>
      </c>
      <c r="O52">
        <v>14</v>
      </c>
      <c r="Q52">
        <v>15.8</v>
      </c>
      <c r="S52">
        <v>14</v>
      </c>
      <c r="U52">
        <v>16.600000000000001</v>
      </c>
      <c r="W52">
        <v>14.9</v>
      </c>
      <c r="Y52">
        <v>16.3</v>
      </c>
      <c r="AA52">
        <v>15.2</v>
      </c>
      <c r="AC52">
        <v>14.25</v>
      </c>
      <c r="AE52">
        <v>15.65</v>
      </c>
      <c r="AG52">
        <v>15.7</v>
      </c>
      <c r="AI52">
        <v>14.7</v>
      </c>
      <c r="AK52">
        <v>15.6</v>
      </c>
      <c r="AM52">
        <v>13.6</v>
      </c>
    </row>
    <row r="53" spans="1:39" x14ac:dyDescent="0.25">
      <c r="A53">
        <v>14.1</v>
      </c>
      <c r="C53">
        <v>14.1</v>
      </c>
      <c r="E53">
        <v>16.600000000000001</v>
      </c>
      <c r="G53">
        <v>14.2</v>
      </c>
      <c r="I53">
        <v>14.7</v>
      </c>
      <c r="K53">
        <v>14.6</v>
      </c>
      <c r="M53">
        <v>16.5</v>
      </c>
      <c r="O53">
        <v>14.01</v>
      </c>
      <c r="Q53">
        <v>14.3</v>
      </c>
      <c r="S53">
        <v>15.8</v>
      </c>
      <c r="U53">
        <v>14.7</v>
      </c>
      <c r="W53">
        <v>14.7</v>
      </c>
      <c r="Y53">
        <v>14.7</v>
      </c>
      <c r="AA53">
        <v>15.4</v>
      </c>
      <c r="AC53">
        <v>15.2</v>
      </c>
      <c r="AE53">
        <v>15.8</v>
      </c>
      <c r="AG53">
        <v>15.5</v>
      </c>
      <c r="AI53">
        <v>14.5</v>
      </c>
      <c r="AK53">
        <v>16.399999999999999</v>
      </c>
      <c r="AM53">
        <v>14</v>
      </c>
    </row>
    <row r="54" spans="1:39" x14ac:dyDescent="0.25">
      <c r="A54">
        <v>14.9</v>
      </c>
      <c r="C54">
        <v>15.1</v>
      </c>
      <c r="E54">
        <v>16.399999999999999</v>
      </c>
      <c r="G54">
        <v>14.7</v>
      </c>
      <c r="I54">
        <v>16.3</v>
      </c>
      <c r="K54">
        <v>15.7</v>
      </c>
      <c r="M54">
        <v>16.3</v>
      </c>
      <c r="O54">
        <v>14.25</v>
      </c>
      <c r="Q54">
        <v>14.4</v>
      </c>
      <c r="S54">
        <v>15.8</v>
      </c>
      <c r="U54">
        <v>15.8</v>
      </c>
      <c r="W54">
        <v>14.7</v>
      </c>
      <c r="Y54">
        <v>15.2</v>
      </c>
      <c r="AA54">
        <v>15.3</v>
      </c>
      <c r="AC54">
        <v>14.7</v>
      </c>
      <c r="AE54">
        <v>15.6</v>
      </c>
      <c r="AG54">
        <v>15.8</v>
      </c>
      <c r="AI54">
        <v>14.1</v>
      </c>
      <c r="AK54">
        <v>14.5</v>
      </c>
      <c r="AM54">
        <v>13.1</v>
      </c>
    </row>
    <row r="55" spans="1:39" x14ac:dyDescent="0.25">
      <c r="A55">
        <v>14.6</v>
      </c>
      <c r="C55">
        <v>15.2</v>
      </c>
      <c r="E55">
        <v>15.1</v>
      </c>
      <c r="G55">
        <v>14.9</v>
      </c>
      <c r="I55">
        <v>16.7</v>
      </c>
      <c r="K55">
        <v>15.6</v>
      </c>
      <c r="M55">
        <v>15.5</v>
      </c>
      <c r="O55">
        <v>15.7</v>
      </c>
      <c r="Q55">
        <v>14.4</v>
      </c>
      <c r="S55">
        <v>16.2</v>
      </c>
      <c r="U55">
        <v>14.5</v>
      </c>
      <c r="W55">
        <v>15.2</v>
      </c>
      <c r="Y55">
        <v>15</v>
      </c>
      <c r="AA55">
        <v>15.1</v>
      </c>
      <c r="AC55">
        <v>15.3</v>
      </c>
      <c r="AE55">
        <v>15.3</v>
      </c>
      <c r="AG55">
        <v>15.4</v>
      </c>
      <c r="AI55">
        <v>14.6</v>
      </c>
      <c r="AK55">
        <v>14.6</v>
      </c>
      <c r="AM55">
        <v>13.6</v>
      </c>
    </row>
    <row r="56" spans="1:39" x14ac:dyDescent="0.25">
      <c r="A56">
        <v>14.4</v>
      </c>
      <c r="C56">
        <v>14.9</v>
      </c>
      <c r="E56">
        <v>14.5</v>
      </c>
      <c r="G56">
        <v>14.7</v>
      </c>
      <c r="I56">
        <v>14.8</v>
      </c>
      <c r="K56">
        <v>16.100000000000001</v>
      </c>
      <c r="M56">
        <v>15.6</v>
      </c>
      <c r="O56">
        <v>14.5</v>
      </c>
      <c r="Q56">
        <v>14.3</v>
      </c>
      <c r="S56">
        <v>14.2</v>
      </c>
      <c r="U56">
        <v>14.6</v>
      </c>
      <c r="W56">
        <v>15.2</v>
      </c>
      <c r="Y56">
        <v>15.5</v>
      </c>
      <c r="AA56">
        <v>15.1</v>
      </c>
      <c r="AC56">
        <v>15</v>
      </c>
      <c r="AE56">
        <v>15.2</v>
      </c>
      <c r="AG56">
        <v>14.8</v>
      </c>
      <c r="AI56">
        <v>14.9</v>
      </c>
      <c r="AK56">
        <v>14.9</v>
      </c>
      <c r="AM56">
        <v>13.7</v>
      </c>
    </row>
    <row r="57" spans="1:39" x14ac:dyDescent="0.25">
      <c r="A57">
        <v>14.5</v>
      </c>
      <c r="C57">
        <v>14.7</v>
      </c>
      <c r="E57">
        <v>13.6</v>
      </c>
      <c r="G57">
        <v>15.1</v>
      </c>
      <c r="I57">
        <v>16</v>
      </c>
      <c r="K57">
        <v>16.25</v>
      </c>
      <c r="M57">
        <v>16.2</v>
      </c>
      <c r="O57">
        <v>16.2</v>
      </c>
      <c r="Q57">
        <v>13.5</v>
      </c>
      <c r="S57">
        <v>14.2</v>
      </c>
      <c r="U57">
        <v>14.9</v>
      </c>
      <c r="W57">
        <v>15.5</v>
      </c>
      <c r="Y57">
        <v>17.8</v>
      </c>
      <c r="AA57">
        <v>15.3</v>
      </c>
      <c r="AC57">
        <v>14.75</v>
      </c>
      <c r="AE57">
        <v>15.4</v>
      </c>
      <c r="AG57">
        <v>14.8</v>
      </c>
      <c r="AI57">
        <v>14.6</v>
      </c>
      <c r="AK57">
        <v>15.1</v>
      </c>
      <c r="AM57">
        <v>15.6</v>
      </c>
    </row>
    <row r="58" spans="1:39" x14ac:dyDescent="0.25">
      <c r="A58">
        <v>14</v>
      </c>
      <c r="C58">
        <v>13.7</v>
      </c>
      <c r="E58">
        <v>13.6</v>
      </c>
      <c r="G58">
        <v>14.9</v>
      </c>
      <c r="I58">
        <v>15.5</v>
      </c>
      <c r="K58">
        <v>16.5</v>
      </c>
      <c r="M58">
        <v>16.3</v>
      </c>
      <c r="O58">
        <v>16.2</v>
      </c>
      <c r="Q58">
        <v>15.1</v>
      </c>
      <c r="S58">
        <v>13.8</v>
      </c>
      <c r="U58">
        <v>15.3</v>
      </c>
      <c r="W58">
        <v>15.1</v>
      </c>
      <c r="Y58">
        <v>13.7</v>
      </c>
      <c r="AA58">
        <v>15.3</v>
      </c>
      <c r="AC58">
        <v>15.15</v>
      </c>
      <c r="AE58">
        <v>15.7</v>
      </c>
      <c r="AG58">
        <v>14.5</v>
      </c>
      <c r="AI58">
        <v>14.9</v>
      </c>
      <c r="AK58">
        <v>14.4</v>
      </c>
      <c r="AM58">
        <v>14.8</v>
      </c>
    </row>
    <row r="59" spans="1:39" x14ac:dyDescent="0.25">
      <c r="A59">
        <v>14.4</v>
      </c>
      <c r="C59">
        <v>15.6</v>
      </c>
      <c r="E59">
        <v>14.6</v>
      </c>
      <c r="G59">
        <v>15.9</v>
      </c>
      <c r="I59">
        <v>15.4</v>
      </c>
      <c r="K59">
        <v>16.7</v>
      </c>
      <c r="M59">
        <v>15.5</v>
      </c>
      <c r="O59">
        <v>15.3</v>
      </c>
      <c r="Q59">
        <v>14.25</v>
      </c>
      <c r="S59">
        <v>14.3</v>
      </c>
      <c r="U59">
        <v>14.9</v>
      </c>
      <c r="W59">
        <v>15.5</v>
      </c>
      <c r="Y59">
        <v>13.8</v>
      </c>
      <c r="AA59">
        <v>15.5</v>
      </c>
      <c r="AC59">
        <v>14.65</v>
      </c>
      <c r="AE59">
        <v>15</v>
      </c>
      <c r="AG59">
        <v>15.6</v>
      </c>
      <c r="AI59">
        <v>15.7</v>
      </c>
      <c r="AK59">
        <v>14.5</v>
      </c>
      <c r="AM59">
        <v>14.8</v>
      </c>
    </row>
    <row r="60" spans="1:39" x14ac:dyDescent="0.25">
      <c r="A60">
        <v>14.4</v>
      </c>
      <c r="C60">
        <v>14.5</v>
      </c>
      <c r="E60">
        <v>14</v>
      </c>
      <c r="G60">
        <v>15.1</v>
      </c>
      <c r="I60">
        <v>15.6</v>
      </c>
      <c r="K60">
        <v>16.100000000000001</v>
      </c>
      <c r="M60">
        <v>15.3</v>
      </c>
      <c r="O60">
        <v>16.600000000000001</v>
      </c>
      <c r="Q60">
        <v>14.1</v>
      </c>
      <c r="S60">
        <v>14.3</v>
      </c>
      <c r="U60">
        <v>14.6</v>
      </c>
      <c r="W60">
        <v>14.8</v>
      </c>
      <c r="Y60">
        <v>13.7</v>
      </c>
      <c r="AA60">
        <v>15.2</v>
      </c>
      <c r="AC60">
        <v>15.15</v>
      </c>
      <c r="AE60">
        <v>15.6</v>
      </c>
      <c r="AG60">
        <v>15.15</v>
      </c>
      <c r="AI60">
        <v>14.5</v>
      </c>
      <c r="AK60">
        <v>14.9</v>
      </c>
      <c r="AM60">
        <v>16.2</v>
      </c>
    </row>
    <row r="61" spans="1:39" x14ac:dyDescent="0.25">
      <c r="A61">
        <v>14.55</v>
      </c>
      <c r="C61">
        <v>14.3</v>
      </c>
      <c r="E61">
        <v>15.9</v>
      </c>
      <c r="G61">
        <v>14.7</v>
      </c>
      <c r="I61">
        <v>16.399999999999999</v>
      </c>
      <c r="K61">
        <v>14.3</v>
      </c>
      <c r="M61">
        <v>16.7</v>
      </c>
      <c r="O61">
        <v>16.7</v>
      </c>
      <c r="Q61">
        <v>14.85</v>
      </c>
      <c r="S61">
        <v>14.9</v>
      </c>
      <c r="U61">
        <v>14.1</v>
      </c>
      <c r="W61">
        <v>15.8</v>
      </c>
      <c r="Y61">
        <v>15.3</v>
      </c>
      <c r="AA61">
        <v>14.6</v>
      </c>
      <c r="AC61">
        <v>14.8</v>
      </c>
      <c r="AE61">
        <v>15</v>
      </c>
      <c r="AG61">
        <v>15.3</v>
      </c>
      <c r="AI61">
        <v>15.7</v>
      </c>
      <c r="AK61">
        <v>14.1</v>
      </c>
      <c r="AM61">
        <v>15.7</v>
      </c>
    </row>
    <row r="62" spans="1:39" x14ac:dyDescent="0.25">
      <c r="A62">
        <v>15.25</v>
      </c>
      <c r="C62">
        <v>14.1</v>
      </c>
      <c r="E62">
        <v>16</v>
      </c>
      <c r="G62">
        <v>15.4</v>
      </c>
      <c r="I62">
        <v>15.6</v>
      </c>
      <c r="K62">
        <v>15.2</v>
      </c>
      <c r="M62">
        <v>16</v>
      </c>
      <c r="O62">
        <v>15.1</v>
      </c>
      <c r="Q62">
        <v>15.1</v>
      </c>
      <c r="S62">
        <v>14.7</v>
      </c>
      <c r="U62">
        <v>14.4</v>
      </c>
      <c r="W62">
        <v>15.2</v>
      </c>
      <c r="Y62">
        <v>15.4</v>
      </c>
      <c r="AA62">
        <v>14.5</v>
      </c>
      <c r="AC62">
        <v>14.9</v>
      </c>
      <c r="AE62">
        <v>14.85</v>
      </c>
      <c r="AG62">
        <v>15.1</v>
      </c>
      <c r="AI62">
        <v>15.3</v>
      </c>
      <c r="AK62">
        <v>13.5</v>
      </c>
      <c r="AM62">
        <v>14.5</v>
      </c>
    </row>
    <row r="63" spans="1:39" x14ac:dyDescent="0.25">
      <c r="A63">
        <v>14</v>
      </c>
      <c r="C63">
        <v>15.1</v>
      </c>
      <c r="E63">
        <v>15.8</v>
      </c>
      <c r="G63">
        <v>15.9</v>
      </c>
      <c r="I63">
        <v>15.6</v>
      </c>
      <c r="K63">
        <v>15.7</v>
      </c>
      <c r="M63">
        <v>15.9</v>
      </c>
      <c r="O63">
        <v>14.5</v>
      </c>
      <c r="Q63">
        <v>14.95</v>
      </c>
      <c r="S63">
        <v>14.8</v>
      </c>
      <c r="U63">
        <v>15.45</v>
      </c>
      <c r="W63">
        <v>15.2</v>
      </c>
      <c r="Y63">
        <v>15.1</v>
      </c>
      <c r="AA63">
        <v>14.8</v>
      </c>
      <c r="AC63">
        <v>15.1</v>
      </c>
      <c r="AE63">
        <v>15</v>
      </c>
      <c r="AG63">
        <v>14.9</v>
      </c>
      <c r="AI63">
        <v>16.399999999999999</v>
      </c>
      <c r="AK63">
        <v>14.2</v>
      </c>
      <c r="AM63">
        <v>13.8</v>
      </c>
    </row>
    <row r="64" spans="1:39" x14ac:dyDescent="0.25">
      <c r="A64">
        <v>15.2</v>
      </c>
      <c r="C64">
        <v>14</v>
      </c>
      <c r="E64">
        <v>15.4</v>
      </c>
      <c r="G64">
        <v>15.3</v>
      </c>
      <c r="I64">
        <v>15.8</v>
      </c>
      <c r="K64">
        <v>15.1</v>
      </c>
      <c r="M64">
        <v>16.399999999999999</v>
      </c>
      <c r="O64">
        <v>15.1</v>
      </c>
      <c r="Q64">
        <v>16.2</v>
      </c>
      <c r="S64">
        <v>14.5</v>
      </c>
      <c r="U64">
        <v>15.05</v>
      </c>
      <c r="W64">
        <v>15.8</v>
      </c>
      <c r="Y64">
        <v>16</v>
      </c>
      <c r="AA64">
        <v>15.8</v>
      </c>
      <c r="AC64">
        <v>15.7</v>
      </c>
      <c r="AE64">
        <v>14.3</v>
      </c>
      <c r="AG64">
        <v>14.1</v>
      </c>
      <c r="AI64">
        <v>16.100000000000001</v>
      </c>
      <c r="AK64">
        <v>15</v>
      </c>
      <c r="AM64">
        <v>13.7</v>
      </c>
    </row>
    <row r="65" spans="1:39" x14ac:dyDescent="0.25">
      <c r="A65">
        <v>14.9</v>
      </c>
      <c r="C65">
        <v>14</v>
      </c>
      <c r="E65">
        <v>14.4</v>
      </c>
      <c r="G65">
        <v>14.4</v>
      </c>
      <c r="I65">
        <v>15</v>
      </c>
      <c r="K65">
        <v>15.7</v>
      </c>
      <c r="M65">
        <v>16.3</v>
      </c>
      <c r="O65">
        <v>15</v>
      </c>
      <c r="Q65">
        <v>15</v>
      </c>
      <c r="S65">
        <v>15.3</v>
      </c>
      <c r="U65">
        <v>16.3</v>
      </c>
      <c r="W65">
        <v>16.3</v>
      </c>
      <c r="Y65">
        <v>14.6</v>
      </c>
      <c r="AA65">
        <v>15.3</v>
      </c>
      <c r="AC65">
        <v>15.9</v>
      </c>
      <c r="AE65">
        <v>14.35</v>
      </c>
      <c r="AG65">
        <v>14.15</v>
      </c>
      <c r="AI65">
        <v>15.8</v>
      </c>
      <c r="AK65">
        <v>13.7</v>
      </c>
      <c r="AM65">
        <v>15.4</v>
      </c>
    </row>
    <row r="66" spans="1:39" x14ac:dyDescent="0.25">
      <c r="A66">
        <v>14.6</v>
      </c>
      <c r="C66">
        <v>15.1</v>
      </c>
      <c r="E66">
        <v>14.9</v>
      </c>
      <c r="G66">
        <v>14.9</v>
      </c>
      <c r="I66">
        <v>15.2</v>
      </c>
      <c r="K66">
        <v>15.8</v>
      </c>
      <c r="M66">
        <v>16.399999999999999</v>
      </c>
      <c r="O66">
        <v>15.3</v>
      </c>
      <c r="Q66">
        <v>15.8</v>
      </c>
      <c r="S66">
        <v>14.1</v>
      </c>
      <c r="U66">
        <v>15</v>
      </c>
      <c r="W66">
        <v>16.100000000000001</v>
      </c>
      <c r="Y66">
        <v>15.1</v>
      </c>
      <c r="AA66">
        <v>14.7</v>
      </c>
      <c r="AC66">
        <v>14.7</v>
      </c>
      <c r="AE66">
        <v>15.4</v>
      </c>
      <c r="AG66">
        <v>14.9</v>
      </c>
      <c r="AI66">
        <v>15.3</v>
      </c>
      <c r="AK66">
        <v>14.4</v>
      </c>
      <c r="AM66">
        <v>13.3</v>
      </c>
    </row>
    <row r="67" spans="1:39" x14ac:dyDescent="0.25">
      <c r="A67">
        <v>14.5</v>
      </c>
      <c r="C67">
        <v>14.7</v>
      </c>
      <c r="E67">
        <v>15.2</v>
      </c>
      <c r="G67">
        <v>16.149999999999999</v>
      </c>
      <c r="I67">
        <v>14.6</v>
      </c>
      <c r="K67">
        <v>14.45</v>
      </c>
      <c r="M67">
        <v>16.5</v>
      </c>
      <c r="O67">
        <v>15.1</v>
      </c>
      <c r="Q67">
        <v>15.2</v>
      </c>
      <c r="S67">
        <v>13.7</v>
      </c>
      <c r="U67">
        <v>14.5</v>
      </c>
      <c r="W67">
        <v>15.4</v>
      </c>
      <c r="Y67">
        <v>15.4</v>
      </c>
      <c r="AA67">
        <v>15.1</v>
      </c>
      <c r="AC67">
        <v>14.95</v>
      </c>
      <c r="AE67">
        <v>15.65</v>
      </c>
      <c r="AG67">
        <v>15.4</v>
      </c>
      <c r="AI67">
        <v>14.5</v>
      </c>
      <c r="AK67">
        <v>15.03</v>
      </c>
      <c r="AM67">
        <v>13.3</v>
      </c>
    </row>
    <row r="68" spans="1:39" x14ac:dyDescent="0.25">
      <c r="A68">
        <v>13.8</v>
      </c>
      <c r="C68">
        <v>15.8</v>
      </c>
      <c r="E68">
        <v>15.9</v>
      </c>
      <c r="G68">
        <v>15</v>
      </c>
      <c r="I68">
        <v>14</v>
      </c>
      <c r="K68">
        <v>14.7</v>
      </c>
      <c r="M68">
        <v>16.100000000000001</v>
      </c>
      <c r="O68">
        <v>14.9</v>
      </c>
      <c r="Q68">
        <v>14.4</v>
      </c>
      <c r="S68">
        <v>15.9</v>
      </c>
      <c r="U68">
        <v>14.3</v>
      </c>
      <c r="W68">
        <v>15</v>
      </c>
      <c r="Y68">
        <v>15.2</v>
      </c>
      <c r="AA68">
        <v>15.4</v>
      </c>
      <c r="AC68">
        <v>14.7</v>
      </c>
      <c r="AE68">
        <v>15.85</v>
      </c>
      <c r="AG68">
        <v>15.7</v>
      </c>
      <c r="AI68">
        <v>15.2</v>
      </c>
      <c r="AK68">
        <v>14</v>
      </c>
      <c r="AM68">
        <v>13.5</v>
      </c>
    </row>
    <row r="69" spans="1:39" x14ac:dyDescent="0.25">
      <c r="A69">
        <v>15</v>
      </c>
      <c r="C69">
        <v>14.3</v>
      </c>
      <c r="E69">
        <v>16.2</v>
      </c>
      <c r="G69">
        <v>14.3</v>
      </c>
      <c r="I69">
        <v>14.6</v>
      </c>
      <c r="K69">
        <v>15.75</v>
      </c>
      <c r="M69">
        <v>16.3</v>
      </c>
      <c r="O69">
        <v>15.4</v>
      </c>
      <c r="Q69">
        <v>14.5</v>
      </c>
      <c r="S69">
        <v>16.2</v>
      </c>
      <c r="U69">
        <v>13.8</v>
      </c>
      <c r="W69">
        <v>14.9</v>
      </c>
      <c r="Y69">
        <v>15</v>
      </c>
      <c r="AA69">
        <v>15.2</v>
      </c>
      <c r="AC69">
        <v>14.7</v>
      </c>
      <c r="AE69">
        <v>15.7</v>
      </c>
      <c r="AG69">
        <v>15.8</v>
      </c>
      <c r="AI69">
        <v>15.1</v>
      </c>
      <c r="AK69">
        <v>15.6</v>
      </c>
      <c r="AM69">
        <v>13.4</v>
      </c>
    </row>
    <row r="70" spans="1:39" x14ac:dyDescent="0.25">
      <c r="A70">
        <v>14.7</v>
      </c>
      <c r="C70">
        <v>15.1</v>
      </c>
      <c r="E70">
        <v>15</v>
      </c>
      <c r="G70">
        <v>14.2</v>
      </c>
      <c r="I70">
        <v>14.5</v>
      </c>
      <c r="K70">
        <v>15.7</v>
      </c>
      <c r="M70">
        <v>16.8</v>
      </c>
      <c r="O70">
        <v>14.15</v>
      </c>
      <c r="Q70">
        <v>14.5</v>
      </c>
      <c r="S70">
        <v>16.2</v>
      </c>
      <c r="U70">
        <v>14.7</v>
      </c>
      <c r="W70">
        <v>14.4</v>
      </c>
      <c r="Y70">
        <v>15.2</v>
      </c>
      <c r="AA70">
        <v>15.2</v>
      </c>
      <c r="AC70">
        <v>15.35</v>
      </c>
      <c r="AE70">
        <v>15.7</v>
      </c>
      <c r="AG70">
        <v>14.9</v>
      </c>
      <c r="AI70">
        <v>13.7</v>
      </c>
      <c r="AK70">
        <v>15.4</v>
      </c>
      <c r="AM70">
        <v>13.6</v>
      </c>
    </row>
    <row r="71" spans="1:39" x14ac:dyDescent="0.25">
      <c r="A71">
        <v>14.5</v>
      </c>
      <c r="C71">
        <v>15</v>
      </c>
      <c r="E71">
        <v>14.1</v>
      </c>
      <c r="G71">
        <v>14.8</v>
      </c>
      <c r="I71">
        <v>14.4</v>
      </c>
      <c r="K71">
        <v>16.100000000000001</v>
      </c>
      <c r="M71">
        <v>15.5</v>
      </c>
      <c r="O71">
        <v>15.8</v>
      </c>
      <c r="Q71">
        <v>14.7</v>
      </c>
      <c r="S71">
        <v>14.3</v>
      </c>
      <c r="U71">
        <v>15.4</v>
      </c>
      <c r="W71">
        <v>15.7</v>
      </c>
      <c r="Y71">
        <v>15.2</v>
      </c>
      <c r="AA71">
        <v>15.1</v>
      </c>
      <c r="AC71">
        <v>14.9</v>
      </c>
      <c r="AE71">
        <v>15.7</v>
      </c>
      <c r="AG71">
        <v>15.15</v>
      </c>
      <c r="AI71">
        <v>14</v>
      </c>
      <c r="AK71">
        <v>14.3</v>
      </c>
      <c r="AM71">
        <v>13.9</v>
      </c>
    </row>
    <row r="72" spans="1:39" x14ac:dyDescent="0.25">
      <c r="A72">
        <v>13.3</v>
      </c>
      <c r="C72">
        <v>14.3</v>
      </c>
      <c r="E72">
        <v>14</v>
      </c>
      <c r="G72">
        <v>15.2</v>
      </c>
      <c r="I72">
        <v>14.2</v>
      </c>
      <c r="K72">
        <v>16.3</v>
      </c>
      <c r="M72">
        <v>15.2</v>
      </c>
      <c r="O72">
        <v>15.1</v>
      </c>
      <c r="Q72">
        <v>14.2</v>
      </c>
      <c r="S72">
        <v>14.3</v>
      </c>
      <c r="U72">
        <v>14.1</v>
      </c>
      <c r="W72">
        <v>15.8</v>
      </c>
      <c r="Y72">
        <v>17</v>
      </c>
      <c r="AA72">
        <v>15.4</v>
      </c>
      <c r="AC72">
        <v>15.1</v>
      </c>
      <c r="AE72">
        <v>16</v>
      </c>
      <c r="AG72">
        <v>13.95</v>
      </c>
      <c r="AI72">
        <v>15.9</v>
      </c>
      <c r="AK72">
        <v>16.100000000000001</v>
      </c>
      <c r="AM72">
        <v>13.5</v>
      </c>
    </row>
    <row r="73" spans="1:39" x14ac:dyDescent="0.25">
      <c r="A73">
        <v>14.2</v>
      </c>
      <c r="C73">
        <v>13.7</v>
      </c>
      <c r="E73">
        <v>14.8</v>
      </c>
      <c r="G73">
        <v>14.8</v>
      </c>
      <c r="I73">
        <v>16.600000000000001</v>
      </c>
      <c r="K73">
        <v>15.9</v>
      </c>
      <c r="M73">
        <v>15.5</v>
      </c>
      <c r="O73">
        <v>17</v>
      </c>
      <c r="Q73">
        <v>14.7</v>
      </c>
      <c r="S73">
        <v>13.6</v>
      </c>
      <c r="U73">
        <v>14</v>
      </c>
      <c r="W73">
        <v>14.5</v>
      </c>
      <c r="Y73">
        <v>13.5</v>
      </c>
      <c r="AA73">
        <v>15.5</v>
      </c>
      <c r="AC73">
        <v>15.35</v>
      </c>
      <c r="AE73">
        <v>15.7</v>
      </c>
      <c r="AG73">
        <v>14.7</v>
      </c>
      <c r="AI73">
        <v>14.5</v>
      </c>
      <c r="AK73">
        <v>14.2</v>
      </c>
      <c r="AM73">
        <v>14.8</v>
      </c>
    </row>
    <row r="74" spans="1:39" x14ac:dyDescent="0.25">
      <c r="A74">
        <v>14.2</v>
      </c>
      <c r="C74">
        <v>15.3</v>
      </c>
      <c r="E74">
        <v>14.8</v>
      </c>
      <c r="G74">
        <v>14.8</v>
      </c>
      <c r="I74">
        <v>15.5</v>
      </c>
      <c r="K74">
        <v>16</v>
      </c>
      <c r="M74">
        <v>15.9</v>
      </c>
      <c r="O74">
        <v>14.7</v>
      </c>
      <c r="Q74">
        <v>13.9</v>
      </c>
      <c r="S74">
        <v>14.25</v>
      </c>
      <c r="U74">
        <v>14.7</v>
      </c>
      <c r="W74">
        <v>14.7</v>
      </c>
      <c r="Y74">
        <v>13.1</v>
      </c>
      <c r="AA74">
        <v>15.5</v>
      </c>
      <c r="AC74">
        <v>14.6</v>
      </c>
      <c r="AE74">
        <v>15.5</v>
      </c>
      <c r="AG74">
        <v>16.3</v>
      </c>
      <c r="AI74">
        <v>14.3</v>
      </c>
      <c r="AK74">
        <v>14.4</v>
      </c>
      <c r="AM74">
        <v>14.4</v>
      </c>
    </row>
    <row r="75" spans="1:39" x14ac:dyDescent="0.25">
      <c r="A75">
        <v>15.9</v>
      </c>
      <c r="C75">
        <v>12.3</v>
      </c>
      <c r="E75">
        <v>15.8</v>
      </c>
      <c r="G75">
        <v>16.399999999999999</v>
      </c>
      <c r="I75">
        <v>14.9</v>
      </c>
      <c r="K75">
        <v>16.2</v>
      </c>
      <c r="M75">
        <v>14.8</v>
      </c>
      <c r="O75">
        <v>15.3</v>
      </c>
      <c r="Q75">
        <v>14.2</v>
      </c>
      <c r="S75">
        <v>14.35</v>
      </c>
      <c r="U75">
        <v>14.85</v>
      </c>
      <c r="W75">
        <v>15.1</v>
      </c>
      <c r="Y75">
        <v>13.8</v>
      </c>
      <c r="AA75">
        <v>15.4</v>
      </c>
      <c r="AC75">
        <v>15.25</v>
      </c>
      <c r="AE75">
        <v>15.3</v>
      </c>
      <c r="AG75">
        <v>15.7</v>
      </c>
      <c r="AI75">
        <v>14.7</v>
      </c>
      <c r="AK75">
        <v>14.8</v>
      </c>
      <c r="AM75">
        <v>16</v>
      </c>
    </row>
    <row r="76" spans="1:39" x14ac:dyDescent="0.25">
      <c r="A76">
        <v>14.6</v>
      </c>
      <c r="C76">
        <v>14.4</v>
      </c>
      <c r="E76">
        <v>15.8</v>
      </c>
      <c r="G76">
        <v>14.9</v>
      </c>
      <c r="I76">
        <v>15.4</v>
      </c>
      <c r="K76">
        <v>14.3</v>
      </c>
      <c r="M76">
        <v>16.3</v>
      </c>
      <c r="O76">
        <v>15.5</v>
      </c>
      <c r="Q76">
        <v>14.5</v>
      </c>
      <c r="S76">
        <v>14.9</v>
      </c>
      <c r="U76">
        <v>14.6</v>
      </c>
      <c r="W76">
        <v>15.1</v>
      </c>
      <c r="Y76">
        <v>14.1</v>
      </c>
      <c r="AA76">
        <v>15.1</v>
      </c>
      <c r="AC76">
        <v>15.1</v>
      </c>
      <c r="AE76">
        <v>14.95</v>
      </c>
      <c r="AG76">
        <v>15.3</v>
      </c>
      <c r="AI76">
        <v>16.600000000000001</v>
      </c>
      <c r="AK76">
        <v>14</v>
      </c>
      <c r="AM76">
        <v>14.5</v>
      </c>
    </row>
    <row r="77" spans="1:39" x14ac:dyDescent="0.25">
      <c r="A77">
        <v>14.75</v>
      </c>
      <c r="C77">
        <v>14</v>
      </c>
      <c r="E77">
        <v>15.7</v>
      </c>
      <c r="G77">
        <v>15.3</v>
      </c>
      <c r="I77">
        <v>15.5</v>
      </c>
      <c r="K77">
        <v>15.1</v>
      </c>
      <c r="M77">
        <v>16.600000000000001</v>
      </c>
      <c r="O77">
        <v>14.2</v>
      </c>
      <c r="Q77">
        <v>14.65</v>
      </c>
      <c r="S77">
        <v>14.9</v>
      </c>
      <c r="U77">
        <v>14.8</v>
      </c>
      <c r="W77">
        <v>15.7</v>
      </c>
      <c r="Y77">
        <v>15.6</v>
      </c>
      <c r="AA77">
        <v>14.6</v>
      </c>
      <c r="AC77">
        <v>14.8</v>
      </c>
      <c r="AE77">
        <v>14.95</v>
      </c>
      <c r="AG77">
        <v>15.1</v>
      </c>
      <c r="AI77">
        <v>14.9</v>
      </c>
      <c r="AK77">
        <v>13.6</v>
      </c>
      <c r="AM77">
        <v>14</v>
      </c>
    </row>
    <row r="78" spans="1:39" x14ac:dyDescent="0.25">
      <c r="A78">
        <v>14.4</v>
      </c>
      <c r="C78">
        <v>14.9</v>
      </c>
      <c r="E78">
        <v>15.4</v>
      </c>
      <c r="G78">
        <v>14.8</v>
      </c>
      <c r="I78">
        <v>15.4</v>
      </c>
      <c r="K78">
        <v>15</v>
      </c>
      <c r="M78">
        <v>16.3</v>
      </c>
      <c r="O78">
        <v>15.8</v>
      </c>
      <c r="Q78">
        <v>15.85</v>
      </c>
      <c r="S78">
        <v>14.8</v>
      </c>
      <c r="U78">
        <v>14.6</v>
      </c>
      <c r="W78">
        <v>16</v>
      </c>
      <c r="Y78">
        <v>15.3</v>
      </c>
      <c r="AA78">
        <v>14.5</v>
      </c>
      <c r="AC78">
        <v>14.5</v>
      </c>
      <c r="AE78">
        <v>15.1</v>
      </c>
      <c r="AG78">
        <v>15.1</v>
      </c>
      <c r="AI78">
        <v>14.2</v>
      </c>
      <c r="AK78">
        <v>14</v>
      </c>
      <c r="AM78">
        <v>14.2</v>
      </c>
    </row>
    <row r="79" spans="1:39" x14ac:dyDescent="0.25">
      <c r="A79">
        <v>15.1</v>
      </c>
      <c r="C79">
        <v>14.1</v>
      </c>
      <c r="E79">
        <v>15.4</v>
      </c>
      <c r="G79">
        <v>16.100000000000001</v>
      </c>
      <c r="I79">
        <v>15.6</v>
      </c>
      <c r="K79">
        <v>15.75</v>
      </c>
      <c r="M79">
        <v>16.100000000000001</v>
      </c>
      <c r="O79">
        <v>15.7</v>
      </c>
      <c r="Q79">
        <v>16.2</v>
      </c>
      <c r="S79">
        <v>14.6</v>
      </c>
      <c r="U79">
        <v>14.9</v>
      </c>
      <c r="W79">
        <v>15.4</v>
      </c>
      <c r="Y79">
        <v>15.1</v>
      </c>
      <c r="AA79">
        <v>15.6</v>
      </c>
      <c r="AC79">
        <v>16.100000000000001</v>
      </c>
      <c r="AE79">
        <v>14.2</v>
      </c>
      <c r="AG79">
        <v>13.3</v>
      </c>
      <c r="AI79">
        <v>15.4</v>
      </c>
      <c r="AK79">
        <v>14.9</v>
      </c>
      <c r="AM79">
        <v>13.9</v>
      </c>
    </row>
    <row r="80" spans="1:39" x14ac:dyDescent="0.25">
      <c r="A80">
        <v>14.7</v>
      </c>
      <c r="C80">
        <v>14</v>
      </c>
      <c r="E80">
        <v>15</v>
      </c>
      <c r="G80">
        <v>14.4</v>
      </c>
      <c r="I80">
        <v>15.8</v>
      </c>
      <c r="K80">
        <v>15</v>
      </c>
      <c r="M80">
        <v>16.3</v>
      </c>
      <c r="O80">
        <v>14.7</v>
      </c>
      <c r="Q80">
        <v>15</v>
      </c>
      <c r="S80">
        <v>14.5</v>
      </c>
      <c r="U80">
        <v>15</v>
      </c>
      <c r="W80">
        <v>15.9</v>
      </c>
      <c r="Y80">
        <v>14.4</v>
      </c>
      <c r="AA80">
        <v>15.2</v>
      </c>
      <c r="AC80">
        <v>16.100000000000001</v>
      </c>
      <c r="AE80">
        <v>15.45</v>
      </c>
      <c r="AG80">
        <v>15.5</v>
      </c>
      <c r="AI80">
        <v>15.3</v>
      </c>
      <c r="AK80">
        <v>14.5</v>
      </c>
      <c r="AM80">
        <v>13.3</v>
      </c>
    </row>
    <row r="81" spans="1:39" x14ac:dyDescent="0.25">
      <c r="A81">
        <v>14.7</v>
      </c>
      <c r="C81">
        <v>16.100000000000001</v>
      </c>
      <c r="E81">
        <v>15.1</v>
      </c>
      <c r="G81">
        <v>15.1</v>
      </c>
      <c r="I81">
        <v>16.100000000000001</v>
      </c>
      <c r="K81">
        <v>15.85</v>
      </c>
      <c r="M81">
        <v>15.9</v>
      </c>
      <c r="O81">
        <v>14.8</v>
      </c>
      <c r="Q81">
        <v>15.2</v>
      </c>
      <c r="S81">
        <v>13.8</v>
      </c>
      <c r="U81">
        <v>15.15</v>
      </c>
      <c r="W81">
        <v>15</v>
      </c>
      <c r="Y81">
        <v>15.3</v>
      </c>
      <c r="AA81">
        <v>15.1</v>
      </c>
      <c r="AC81">
        <v>16.600000000000001</v>
      </c>
      <c r="AE81">
        <v>15.45</v>
      </c>
      <c r="AG81">
        <v>15.5</v>
      </c>
      <c r="AI81">
        <v>16.899999999999999</v>
      </c>
      <c r="AK81">
        <v>14.6</v>
      </c>
      <c r="AM81">
        <v>13.8</v>
      </c>
    </row>
    <row r="82" spans="1:39" x14ac:dyDescent="0.25">
      <c r="A82">
        <v>14.3</v>
      </c>
      <c r="C82">
        <v>15.9</v>
      </c>
      <c r="E82">
        <v>14.8</v>
      </c>
      <c r="G82">
        <v>14.9</v>
      </c>
      <c r="I82">
        <v>15.9</v>
      </c>
      <c r="K82">
        <v>15.65</v>
      </c>
      <c r="M82">
        <v>17</v>
      </c>
      <c r="O82">
        <v>14.8</v>
      </c>
      <c r="Q82">
        <v>14.6</v>
      </c>
      <c r="S82">
        <v>13.8</v>
      </c>
      <c r="U82">
        <v>14.9</v>
      </c>
      <c r="W82">
        <v>14.9</v>
      </c>
      <c r="Y82">
        <v>15.7</v>
      </c>
      <c r="AA82">
        <v>14.9</v>
      </c>
      <c r="AC82">
        <v>15.1</v>
      </c>
      <c r="AE82">
        <v>15.9</v>
      </c>
      <c r="AG82">
        <v>15.6</v>
      </c>
      <c r="AI82">
        <v>15.7</v>
      </c>
      <c r="AK82">
        <v>15.01</v>
      </c>
      <c r="AM82">
        <v>13.5</v>
      </c>
    </row>
    <row r="83" spans="1:39" x14ac:dyDescent="0.25">
      <c r="A83">
        <v>13.8</v>
      </c>
      <c r="C83">
        <v>15</v>
      </c>
      <c r="E83">
        <v>15.6</v>
      </c>
      <c r="G83">
        <v>13.8</v>
      </c>
      <c r="I83">
        <v>16.899999999999999</v>
      </c>
      <c r="K83">
        <v>15.5</v>
      </c>
      <c r="M83">
        <v>15.7</v>
      </c>
      <c r="O83">
        <v>15.1</v>
      </c>
      <c r="Q83">
        <v>14.5</v>
      </c>
      <c r="S83">
        <v>15.6</v>
      </c>
      <c r="U83">
        <v>14.25</v>
      </c>
      <c r="W83">
        <v>15.2</v>
      </c>
      <c r="Y83">
        <v>14.6</v>
      </c>
      <c r="AA83">
        <v>15.4</v>
      </c>
      <c r="AC83">
        <v>15.5</v>
      </c>
      <c r="AE83">
        <v>15.75</v>
      </c>
      <c r="AG83">
        <v>15.2</v>
      </c>
      <c r="AI83">
        <v>15.5</v>
      </c>
      <c r="AK83">
        <v>13.5</v>
      </c>
      <c r="AM83">
        <v>13.5</v>
      </c>
    </row>
    <row r="84" spans="1:39" x14ac:dyDescent="0.25">
      <c r="A84">
        <v>15</v>
      </c>
      <c r="C84">
        <v>14.7</v>
      </c>
      <c r="E84">
        <v>15.6</v>
      </c>
      <c r="G84">
        <v>16.649999999999999</v>
      </c>
      <c r="I84">
        <v>14.9</v>
      </c>
      <c r="K84">
        <v>15.65</v>
      </c>
      <c r="M84">
        <v>16</v>
      </c>
      <c r="O84">
        <v>15.3</v>
      </c>
      <c r="Q84">
        <v>14.6</v>
      </c>
      <c r="S84">
        <v>16</v>
      </c>
      <c r="U84">
        <v>15.25</v>
      </c>
      <c r="W84">
        <v>15</v>
      </c>
      <c r="Y84">
        <v>14.6</v>
      </c>
      <c r="AA84">
        <v>15.4</v>
      </c>
      <c r="AC84">
        <v>15.01</v>
      </c>
      <c r="AE84">
        <v>15.9</v>
      </c>
      <c r="AG84">
        <v>15.5</v>
      </c>
      <c r="AI84">
        <v>15.2</v>
      </c>
      <c r="AK84">
        <v>15.8</v>
      </c>
      <c r="AM84">
        <v>13.2</v>
      </c>
    </row>
    <row r="85" spans="1:39" x14ac:dyDescent="0.25">
      <c r="A85">
        <v>14.7</v>
      </c>
      <c r="C85">
        <v>14.9</v>
      </c>
      <c r="E85">
        <v>14.7</v>
      </c>
      <c r="G85">
        <v>15.5</v>
      </c>
      <c r="I85">
        <v>15.2</v>
      </c>
      <c r="K85">
        <v>15.75</v>
      </c>
      <c r="M85">
        <v>16.3</v>
      </c>
      <c r="O85">
        <v>15.2</v>
      </c>
      <c r="Q85">
        <v>14.4</v>
      </c>
      <c r="S85">
        <v>15.2</v>
      </c>
      <c r="U85">
        <v>15.4</v>
      </c>
      <c r="W85">
        <v>14.4</v>
      </c>
      <c r="Y85">
        <v>16.100000000000001</v>
      </c>
      <c r="AA85">
        <v>15.2</v>
      </c>
      <c r="AC85">
        <v>15.15</v>
      </c>
      <c r="AE85">
        <v>15.8</v>
      </c>
      <c r="AG85">
        <v>14.8</v>
      </c>
      <c r="AI85">
        <v>15.2</v>
      </c>
      <c r="AK85">
        <v>15.8</v>
      </c>
      <c r="AM85">
        <v>13.8</v>
      </c>
    </row>
    <row r="86" spans="1:39" x14ac:dyDescent="0.25">
      <c r="A86">
        <v>14.5</v>
      </c>
      <c r="C86">
        <v>14.9</v>
      </c>
      <c r="E86">
        <v>14.6</v>
      </c>
      <c r="G86">
        <v>14.7</v>
      </c>
      <c r="I86">
        <v>16.100000000000001</v>
      </c>
      <c r="K86">
        <v>15.8</v>
      </c>
      <c r="M86">
        <v>15.7</v>
      </c>
      <c r="O86">
        <v>15.2</v>
      </c>
      <c r="Q86">
        <v>15.1</v>
      </c>
      <c r="S86">
        <v>14.2</v>
      </c>
      <c r="U86">
        <v>16.5</v>
      </c>
      <c r="W86">
        <v>15.1</v>
      </c>
      <c r="Y86">
        <v>16.3</v>
      </c>
      <c r="AA86">
        <v>15.3</v>
      </c>
      <c r="AC86">
        <v>14.95</v>
      </c>
      <c r="AE86">
        <v>15.1</v>
      </c>
      <c r="AG86">
        <v>14.25</v>
      </c>
      <c r="AI86">
        <v>16.600000000000001</v>
      </c>
      <c r="AK86">
        <v>15.3</v>
      </c>
      <c r="AM86">
        <v>14</v>
      </c>
    </row>
    <row r="87" spans="1:39" x14ac:dyDescent="0.25">
      <c r="A87">
        <v>14.4</v>
      </c>
      <c r="C87">
        <v>16.7</v>
      </c>
      <c r="E87">
        <v>14.8</v>
      </c>
      <c r="G87">
        <v>16.399999999999999</v>
      </c>
      <c r="I87">
        <v>16.5</v>
      </c>
      <c r="K87">
        <v>16.399999999999999</v>
      </c>
      <c r="M87">
        <v>16.45</v>
      </c>
      <c r="O87">
        <v>15.3</v>
      </c>
      <c r="Q87">
        <v>14.2</v>
      </c>
      <c r="S87">
        <v>14.4</v>
      </c>
      <c r="U87">
        <v>14.1</v>
      </c>
      <c r="W87">
        <v>14.8</v>
      </c>
      <c r="Y87">
        <v>14.2</v>
      </c>
      <c r="AA87">
        <v>15.2</v>
      </c>
      <c r="AC87">
        <v>16.05</v>
      </c>
      <c r="AE87">
        <v>16</v>
      </c>
      <c r="AG87">
        <v>14.6</v>
      </c>
      <c r="AI87">
        <v>13.3</v>
      </c>
      <c r="AK87">
        <v>15.8</v>
      </c>
      <c r="AM87">
        <v>14.9</v>
      </c>
    </row>
    <row r="88" spans="1:39" x14ac:dyDescent="0.25">
      <c r="A88">
        <v>14.5</v>
      </c>
      <c r="C88">
        <v>13.9</v>
      </c>
      <c r="E88">
        <v>14.3</v>
      </c>
      <c r="G88">
        <v>14.7</v>
      </c>
      <c r="I88">
        <v>16.3</v>
      </c>
      <c r="K88">
        <v>16</v>
      </c>
      <c r="M88">
        <v>15.35</v>
      </c>
      <c r="O88">
        <v>15.4</v>
      </c>
      <c r="Q88">
        <v>14.45</v>
      </c>
      <c r="S88">
        <v>14.3</v>
      </c>
      <c r="U88">
        <v>14.2</v>
      </c>
      <c r="W88">
        <v>15.6</v>
      </c>
      <c r="Y88">
        <v>13.5</v>
      </c>
      <c r="AA88">
        <v>15.2</v>
      </c>
      <c r="AC88">
        <v>14.95</v>
      </c>
      <c r="AE88">
        <v>15.4</v>
      </c>
      <c r="AG88">
        <v>14.85</v>
      </c>
      <c r="AI88">
        <v>14.2</v>
      </c>
      <c r="AK88">
        <v>14.1</v>
      </c>
      <c r="AM88">
        <v>15.1</v>
      </c>
    </row>
    <row r="89" spans="1:39" x14ac:dyDescent="0.25">
      <c r="A89">
        <v>14.3</v>
      </c>
      <c r="C89">
        <v>15.9</v>
      </c>
      <c r="E89">
        <v>14.4</v>
      </c>
      <c r="G89">
        <v>15.5</v>
      </c>
      <c r="I89">
        <v>16.8</v>
      </c>
      <c r="K89">
        <v>16.2</v>
      </c>
      <c r="M89">
        <v>15.6</v>
      </c>
      <c r="O89">
        <v>15.7</v>
      </c>
      <c r="Q89">
        <v>14</v>
      </c>
      <c r="S89">
        <v>14.06</v>
      </c>
      <c r="U89">
        <v>15</v>
      </c>
      <c r="W89">
        <v>16</v>
      </c>
      <c r="Y89">
        <v>13.7</v>
      </c>
      <c r="AA89">
        <v>16.2</v>
      </c>
      <c r="AC89">
        <v>14.75</v>
      </c>
      <c r="AE89">
        <v>15.1</v>
      </c>
      <c r="AG89">
        <v>15.5</v>
      </c>
      <c r="AI89">
        <v>14.15</v>
      </c>
      <c r="AK89">
        <v>14.6</v>
      </c>
      <c r="AM89">
        <v>14.4</v>
      </c>
    </row>
    <row r="90" spans="1:39" x14ac:dyDescent="0.25">
      <c r="A90">
        <v>14.8</v>
      </c>
      <c r="C90">
        <v>12.7</v>
      </c>
      <c r="E90">
        <v>15.5</v>
      </c>
      <c r="G90">
        <v>14.7</v>
      </c>
      <c r="I90">
        <v>15.4</v>
      </c>
      <c r="K90">
        <v>16.3</v>
      </c>
      <c r="M90">
        <v>14.9</v>
      </c>
      <c r="O90">
        <v>15.2</v>
      </c>
      <c r="Q90">
        <v>14.25</v>
      </c>
      <c r="S90">
        <v>14.45</v>
      </c>
      <c r="U90">
        <v>14.6</v>
      </c>
      <c r="W90">
        <v>14.7</v>
      </c>
      <c r="Y90">
        <v>13.7</v>
      </c>
      <c r="AA90">
        <v>14.9</v>
      </c>
      <c r="AC90">
        <v>15.3</v>
      </c>
      <c r="AE90">
        <v>15.4</v>
      </c>
      <c r="AG90">
        <v>17.600000000000001</v>
      </c>
      <c r="AI90">
        <v>15.7</v>
      </c>
      <c r="AK90">
        <v>14.8</v>
      </c>
      <c r="AM90">
        <v>16.2</v>
      </c>
    </row>
    <row r="91" spans="1:39" x14ac:dyDescent="0.25">
      <c r="A91">
        <v>14.33</v>
      </c>
      <c r="C91">
        <v>16.8</v>
      </c>
      <c r="E91">
        <v>15.8</v>
      </c>
      <c r="G91">
        <v>13.8</v>
      </c>
      <c r="I91">
        <v>15.4</v>
      </c>
      <c r="K91">
        <v>14.1</v>
      </c>
      <c r="M91">
        <v>14.3</v>
      </c>
      <c r="O91">
        <v>15.5</v>
      </c>
      <c r="Q91">
        <v>15.6</v>
      </c>
      <c r="S91">
        <v>14.7</v>
      </c>
      <c r="U91">
        <v>14.9</v>
      </c>
      <c r="W91">
        <v>14.6</v>
      </c>
      <c r="Y91">
        <v>14.8</v>
      </c>
      <c r="AA91">
        <v>15.3</v>
      </c>
      <c r="AC91">
        <v>14.8</v>
      </c>
      <c r="AE91">
        <v>16.600000000000001</v>
      </c>
      <c r="AG91">
        <v>15</v>
      </c>
      <c r="AI91">
        <v>14.4</v>
      </c>
      <c r="AK91">
        <v>15</v>
      </c>
      <c r="AM91">
        <v>15.3</v>
      </c>
    </row>
    <row r="92" spans="1:39" x14ac:dyDescent="0.25">
      <c r="A92">
        <v>14.65</v>
      </c>
      <c r="C92">
        <v>17.100000000000001</v>
      </c>
      <c r="E92">
        <v>13.5</v>
      </c>
      <c r="G92">
        <v>16.600000000000001</v>
      </c>
      <c r="I92">
        <v>15.5</v>
      </c>
      <c r="K92">
        <v>14.8</v>
      </c>
      <c r="M92">
        <v>16.7</v>
      </c>
      <c r="O92">
        <v>16.3</v>
      </c>
      <c r="Q92">
        <v>15.1</v>
      </c>
      <c r="S92">
        <v>14.5</v>
      </c>
      <c r="U92">
        <v>15.4</v>
      </c>
      <c r="W92">
        <v>13.8</v>
      </c>
      <c r="Y92">
        <v>14.9</v>
      </c>
      <c r="AA92">
        <v>13.4</v>
      </c>
      <c r="AC92">
        <v>14.6</v>
      </c>
      <c r="AE92">
        <v>14.8</v>
      </c>
      <c r="AG92">
        <v>14.9</v>
      </c>
      <c r="AI92">
        <v>14.9</v>
      </c>
      <c r="AK92">
        <v>14.3</v>
      </c>
      <c r="AM92">
        <v>14.5</v>
      </c>
    </row>
    <row r="93" spans="1:39" x14ac:dyDescent="0.25">
      <c r="A93">
        <v>15.5</v>
      </c>
      <c r="C93">
        <v>17.100000000000001</v>
      </c>
      <c r="E93">
        <v>13.7</v>
      </c>
      <c r="G93">
        <v>15.2</v>
      </c>
      <c r="I93">
        <v>15.5</v>
      </c>
      <c r="K93">
        <v>14.8</v>
      </c>
      <c r="M93">
        <v>14.01</v>
      </c>
      <c r="O93">
        <v>14.2</v>
      </c>
      <c r="Q93">
        <v>15.1</v>
      </c>
      <c r="S93">
        <v>14.8</v>
      </c>
      <c r="U93">
        <v>14.75</v>
      </c>
      <c r="W93">
        <v>14.8</v>
      </c>
      <c r="Y93">
        <v>14.3</v>
      </c>
      <c r="AA93">
        <v>15.1</v>
      </c>
      <c r="AC93">
        <v>13.1</v>
      </c>
      <c r="AE93">
        <v>17.2</v>
      </c>
      <c r="AG93">
        <v>14.5</v>
      </c>
      <c r="AI93">
        <v>15.9</v>
      </c>
      <c r="AK93">
        <v>15</v>
      </c>
      <c r="AM93">
        <v>15.3</v>
      </c>
    </row>
    <row r="94" spans="1:39" x14ac:dyDescent="0.25">
      <c r="A94">
        <v>16.600000000000001</v>
      </c>
      <c r="C94">
        <v>16</v>
      </c>
      <c r="E94">
        <v>14.15</v>
      </c>
      <c r="G94">
        <v>14.9</v>
      </c>
      <c r="I94">
        <v>15.6</v>
      </c>
      <c r="K94">
        <v>14.1</v>
      </c>
      <c r="M94">
        <v>14.15</v>
      </c>
      <c r="O94">
        <v>16</v>
      </c>
      <c r="Q94">
        <v>15.2</v>
      </c>
      <c r="S94">
        <v>15.2</v>
      </c>
      <c r="U94">
        <v>14.95</v>
      </c>
      <c r="W94">
        <v>14.7</v>
      </c>
      <c r="Y94">
        <v>17.600000000000001</v>
      </c>
      <c r="AA94">
        <v>15.6</v>
      </c>
      <c r="AC94">
        <v>14.4</v>
      </c>
      <c r="AE94">
        <v>15.4</v>
      </c>
      <c r="AG94">
        <v>15.1</v>
      </c>
      <c r="AI94">
        <v>15.6</v>
      </c>
      <c r="AK94">
        <v>14.7</v>
      </c>
      <c r="AM94">
        <v>14.7</v>
      </c>
    </row>
    <row r="95" spans="1:39" x14ac:dyDescent="0.25">
      <c r="A95">
        <v>16.399999999999999</v>
      </c>
      <c r="C95">
        <v>16.5</v>
      </c>
      <c r="E95">
        <v>13.95</v>
      </c>
      <c r="G95">
        <v>14</v>
      </c>
      <c r="I95">
        <v>15.5</v>
      </c>
      <c r="K95">
        <v>13.8</v>
      </c>
      <c r="M95">
        <v>13.5</v>
      </c>
      <c r="O95">
        <v>15.7</v>
      </c>
      <c r="Q95">
        <v>14.5</v>
      </c>
      <c r="S95">
        <v>14.1</v>
      </c>
      <c r="U95">
        <v>14.7</v>
      </c>
      <c r="W95">
        <v>14.3</v>
      </c>
      <c r="Y95">
        <v>15.1</v>
      </c>
      <c r="AA95">
        <v>13.7</v>
      </c>
      <c r="AC95">
        <v>15.3</v>
      </c>
      <c r="AE95">
        <v>17.2</v>
      </c>
      <c r="AG95">
        <v>15.6</v>
      </c>
      <c r="AI95">
        <v>14.7</v>
      </c>
      <c r="AK95">
        <v>14.4</v>
      </c>
    </row>
    <row r="96" spans="1:39" x14ac:dyDescent="0.25">
      <c r="A96">
        <v>14.1</v>
      </c>
      <c r="C96">
        <v>17.2</v>
      </c>
      <c r="E96">
        <v>14.1</v>
      </c>
      <c r="G96">
        <v>15.7</v>
      </c>
      <c r="I96">
        <v>15.7</v>
      </c>
      <c r="K96">
        <v>14.4</v>
      </c>
      <c r="M96">
        <v>14.4</v>
      </c>
      <c r="O96">
        <v>16.3</v>
      </c>
      <c r="Q96">
        <v>14.4</v>
      </c>
      <c r="S96">
        <v>14.8</v>
      </c>
      <c r="U96">
        <v>13.75</v>
      </c>
      <c r="W96">
        <v>13.9</v>
      </c>
      <c r="Y96">
        <v>14.5</v>
      </c>
      <c r="AA96">
        <v>14.8</v>
      </c>
      <c r="AC96">
        <v>15.2</v>
      </c>
      <c r="AE96">
        <v>15.5</v>
      </c>
      <c r="AG96">
        <v>14.3</v>
      </c>
      <c r="AI96">
        <v>15.4</v>
      </c>
      <c r="AK96">
        <v>15.3</v>
      </c>
    </row>
    <row r="97" spans="1:37" x14ac:dyDescent="0.25">
      <c r="A97">
        <v>16.5</v>
      </c>
      <c r="C97">
        <v>16.600000000000001</v>
      </c>
      <c r="E97">
        <v>15</v>
      </c>
      <c r="G97">
        <v>14.1</v>
      </c>
      <c r="I97">
        <v>15.6</v>
      </c>
      <c r="K97">
        <v>14.6</v>
      </c>
      <c r="M97">
        <v>15</v>
      </c>
      <c r="O97">
        <v>14.8</v>
      </c>
      <c r="Q97">
        <v>14.6</v>
      </c>
      <c r="S97">
        <v>14.7</v>
      </c>
      <c r="U97">
        <v>14.65</v>
      </c>
      <c r="W97">
        <v>15.1</v>
      </c>
      <c r="Y97">
        <v>15.8</v>
      </c>
      <c r="AA97">
        <v>15.6</v>
      </c>
      <c r="AC97">
        <v>14.7</v>
      </c>
      <c r="AE97">
        <v>15.3</v>
      </c>
      <c r="AG97">
        <v>15.7</v>
      </c>
      <c r="AI97">
        <v>15.1</v>
      </c>
      <c r="AK97">
        <v>15</v>
      </c>
    </row>
    <row r="98" spans="1:37" x14ac:dyDescent="0.25">
      <c r="A98">
        <v>16.2</v>
      </c>
      <c r="C98">
        <v>17.2</v>
      </c>
      <c r="E98">
        <v>17</v>
      </c>
      <c r="G98">
        <v>15.1</v>
      </c>
      <c r="I98">
        <v>15.7</v>
      </c>
      <c r="K98">
        <v>14.3</v>
      </c>
      <c r="M98">
        <v>14</v>
      </c>
      <c r="O98">
        <v>14.8</v>
      </c>
      <c r="Q98">
        <v>14.1</v>
      </c>
      <c r="S98">
        <v>15.8</v>
      </c>
      <c r="U98">
        <v>15.05</v>
      </c>
      <c r="W98">
        <v>14.3</v>
      </c>
      <c r="Y98">
        <v>15.3</v>
      </c>
      <c r="AA98">
        <v>16.5</v>
      </c>
      <c r="AC98">
        <v>19</v>
      </c>
      <c r="AE98">
        <v>15</v>
      </c>
      <c r="AG98">
        <v>14.7</v>
      </c>
      <c r="AI98">
        <v>15.4</v>
      </c>
      <c r="AK98">
        <v>14.5</v>
      </c>
    </row>
    <row r="99" spans="1:37" x14ac:dyDescent="0.25">
      <c r="A99">
        <v>16.399999999999999</v>
      </c>
      <c r="C99">
        <v>16.3</v>
      </c>
      <c r="E99">
        <v>17.100000000000001</v>
      </c>
      <c r="G99">
        <v>14.6</v>
      </c>
      <c r="I99">
        <v>15.9</v>
      </c>
      <c r="K99">
        <v>13.2</v>
      </c>
      <c r="M99">
        <v>14.9</v>
      </c>
      <c r="O99">
        <v>14.9</v>
      </c>
      <c r="Q99">
        <v>14.6</v>
      </c>
      <c r="S99">
        <v>15.1</v>
      </c>
      <c r="U99">
        <v>14.9</v>
      </c>
      <c r="W99">
        <v>15.2</v>
      </c>
      <c r="Y99">
        <v>15.5</v>
      </c>
      <c r="AA99">
        <v>15.8</v>
      </c>
      <c r="AC99">
        <v>15.2</v>
      </c>
      <c r="AE99">
        <v>16.100000000000001</v>
      </c>
      <c r="AG99">
        <v>14.7</v>
      </c>
      <c r="AI99">
        <v>15.6</v>
      </c>
      <c r="AK99">
        <v>15.5</v>
      </c>
    </row>
    <row r="100" spans="1:37" x14ac:dyDescent="0.25">
      <c r="A100">
        <v>16.5</v>
      </c>
      <c r="C100">
        <v>16.399999999999999</v>
      </c>
      <c r="E100">
        <v>16.7</v>
      </c>
      <c r="G100">
        <v>14.3</v>
      </c>
      <c r="I100">
        <v>15.2</v>
      </c>
      <c r="K100">
        <v>14.6</v>
      </c>
      <c r="M100">
        <v>14.2</v>
      </c>
      <c r="O100">
        <v>15.1</v>
      </c>
      <c r="Q100">
        <v>15.3</v>
      </c>
      <c r="S100">
        <v>15</v>
      </c>
      <c r="U100">
        <v>15.6</v>
      </c>
      <c r="W100">
        <v>15.6</v>
      </c>
      <c r="Y100">
        <v>14.9</v>
      </c>
      <c r="AA100">
        <v>14.6</v>
      </c>
      <c r="AC100">
        <v>14.5</v>
      </c>
      <c r="AE100">
        <v>14.9</v>
      </c>
      <c r="AG100">
        <v>15.1</v>
      </c>
      <c r="AI100">
        <v>15.7</v>
      </c>
      <c r="AK100">
        <v>14.7</v>
      </c>
    </row>
    <row r="101" spans="1:37" x14ac:dyDescent="0.25">
      <c r="A101">
        <v>13.9</v>
      </c>
      <c r="C101">
        <v>17.5</v>
      </c>
      <c r="E101">
        <v>17</v>
      </c>
      <c r="G101">
        <v>16.850000000000001</v>
      </c>
      <c r="I101">
        <v>15</v>
      </c>
      <c r="K101">
        <v>15.5</v>
      </c>
      <c r="M101">
        <v>14.2</v>
      </c>
      <c r="O101">
        <v>15.4</v>
      </c>
      <c r="Q101">
        <v>15</v>
      </c>
      <c r="S101">
        <v>14.9</v>
      </c>
      <c r="U101">
        <v>14.85</v>
      </c>
      <c r="W101">
        <v>17.5</v>
      </c>
      <c r="Y101">
        <v>15.5</v>
      </c>
      <c r="AA101">
        <v>14.9</v>
      </c>
      <c r="AC101">
        <v>14.4</v>
      </c>
      <c r="AE101">
        <v>14.6</v>
      </c>
      <c r="AG101">
        <v>14.3</v>
      </c>
      <c r="AI101">
        <v>14.6</v>
      </c>
      <c r="AK101">
        <v>15.5</v>
      </c>
    </row>
    <row r="102" spans="1:37" x14ac:dyDescent="0.25">
      <c r="A102">
        <v>17.2</v>
      </c>
      <c r="C102">
        <v>16.600000000000001</v>
      </c>
      <c r="E102">
        <v>15.8</v>
      </c>
      <c r="G102">
        <v>15.2</v>
      </c>
      <c r="I102">
        <v>17.399999999999999</v>
      </c>
      <c r="K102">
        <v>14.7</v>
      </c>
      <c r="M102">
        <v>14.15</v>
      </c>
      <c r="O102">
        <v>15.2</v>
      </c>
      <c r="Q102">
        <v>14.4</v>
      </c>
      <c r="S102">
        <v>15.2</v>
      </c>
      <c r="U102">
        <v>14.9</v>
      </c>
      <c r="W102">
        <v>15</v>
      </c>
      <c r="Y102">
        <v>14.2</v>
      </c>
      <c r="AA102">
        <v>16</v>
      </c>
      <c r="AC102">
        <v>15</v>
      </c>
      <c r="AE102">
        <v>15.7</v>
      </c>
      <c r="AG102">
        <v>14.6</v>
      </c>
      <c r="AI102">
        <v>14.8</v>
      </c>
      <c r="AK102">
        <v>15.7</v>
      </c>
    </row>
    <row r="103" spans="1:37" x14ac:dyDescent="0.25">
      <c r="A103">
        <v>14.6</v>
      </c>
      <c r="C103">
        <v>16.899999999999999</v>
      </c>
      <c r="E103">
        <v>16.8</v>
      </c>
      <c r="G103">
        <v>14.3</v>
      </c>
      <c r="I103">
        <v>14.5</v>
      </c>
      <c r="K103">
        <v>14.3</v>
      </c>
      <c r="M103">
        <v>14.5</v>
      </c>
      <c r="O103">
        <v>15.8</v>
      </c>
      <c r="Q103">
        <v>14.3</v>
      </c>
      <c r="S103">
        <v>15.2</v>
      </c>
      <c r="U103">
        <v>16.600000000000001</v>
      </c>
      <c r="W103">
        <v>16</v>
      </c>
      <c r="Y103">
        <v>14.7</v>
      </c>
      <c r="AA103">
        <v>16.2</v>
      </c>
      <c r="AC103">
        <v>16.600000000000001</v>
      </c>
      <c r="AE103">
        <v>15.3</v>
      </c>
      <c r="AG103">
        <v>14.9</v>
      </c>
      <c r="AI103">
        <v>14.5</v>
      </c>
      <c r="AK103">
        <v>15</v>
      </c>
    </row>
    <row r="104" spans="1:37" x14ac:dyDescent="0.25">
      <c r="A104">
        <v>14.15</v>
      </c>
      <c r="C104">
        <v>16</v>
      </c>
      <c r="E104">
        <v>15.1</v>
      </c>
      <c r="G104">
        <v>16.399999999999999</v>
      </c>
      <c r="I104">
        <v>14.3</v>
      </c>
      <c r="K104">
        <v>16.3</v>
      </c>
      <c r="M104">
        <v>14.35</v>
      </c>
      <c r="O104">
        <v>14.25</v>
      </c>
      <c r="Q104">
        <v>14.6</v>
      </c>
      <c r="S104">
        <v>15.2</v>
      </c>
      <c r="U104">
        <v>14.8</v>
      </c>
      <c r="W104">
        <v>15.5</v>
      </c>
      <c r="Y104">
        <v>15.8</v>
      </c>
      <c r="AA104">
        <v>15.6</v>
      </c>
      <c r="AC104">
        <v>14.8</v>
      </c>
      <c r="AE104">
        <v>14.6</v>
      </c>
      <c r="AG104">
        <v>15</v>
      </c>
      <c r="AI104">
        <v>16.100000000000001</v>
      </c>
      <c r="AK104">
        <v>15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2:L20"/>
  <sheetViews>
    <sheetView workbookViewId="0">
      <pane xSplit="3" topLeftCell="D1" activePane="topRight" state="frozen"/>
      <selection pane="topRight" activeCell="A17" sqref="A17:XFD1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20</v>
      </c>
      <c r="B4" s="15" t="s">
        <v>1563</v>
      </c>
      <c r="C4" s="26" t="s">
        <v>457</v>
      </c>
      <c r="D4" s="65" t="s">
        <v>432</v>
      </c>
      <c r="E4" s="39" t="s">
        <v>458</v>
      </c>
      <c r="F4" s="16">
        <v>2920</v>
      </c>
      <c r="G4" s="16">
        <v>10000</v>
      </c>
      <c r="H4" s="17">
        <f>5500+2920</f>
        <v>8420</v>
      </c>
      <c r="I4" s="16">
        <f t="shared" ref="I4:I18" si="0">G4-H4</f>
        <v>1580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1356</v>
      </c>
      <c r="C5" s="28" t="s">
        <v>210</v>
      </c>
      <c r="D5" s="66" t="s">
        <v>1286</v>
      </c>
      <c r="E5" s="40" t="s">
        <v>212</v>
      </c>
      <c r="F5" s="22">
        <v>834.6</v>
      </c>
      <c r="G5" s="22">
        <v>6000</v>
      </c>
      <c r="H5" s="23">
        <v>2949</v>
      </c>
      <c r="I5" s="22">
        <f t="shared" si="0"/>
        <v>3051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1573</v>
      </c>
      <c r="C6" s="28" t="s">
        <v>15</v>
      </c>
      <c r="D6" s="66" t="s">
        <v>1574</v>
      </c>
      <c r="E6" s="40" t="s">
        <v>1575</v>
      </c>
      <c r="F6" s="22">
        <v>20000</v>
      </c>
      <c r="G6" s="22">
        <v>30000</v>
      </c>
      <c r="H6" s="23">
        <v>20000</v>
      </c>
      <c r="I6" s="22">
        <f t="shared" si="0"/>
        <v>10000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1566</v>
      </c>
      <c r="C7" s="28" t="s">
        <v>1567</v>
      </c>
      <c r="D7" s="66" t="s">
        <v>1568</v>
      </c>
      <c r="E7" s="40" t="s">
        <v>351</v>
      </c>
      <c r="F7" s="22">
        <v>402.3</v>
      </c>
      <c r="G7" s="22">
        <v>500</v>
      </c>
      <c r="H7" s="23">
        <v>402.3</v>
      </c>
      <c r="I7" s="22">
        <f t="shared" si="0"/>
        <v>97.699999999999989</v>
      </c>
      <c r="J7" s="22" t="s">
        <v>16</v>
      </c>
      <c r="K7" s="24"/>
      <c r="L7" s="25"/>
    </row>
    <row r="8" spans="1:12" ht="15.75" x14ac:dyDescent="0.25">
      <c r="A8" s="20" t="s">
        <v>40</v>
      </c>
      <c r="B8" s="21" t="s">
        <v>1576</v>
      </c>
      <c r="C8" s="28" t="s">
        <v>15</v>
      </c>
      <c r="D8" s="66" t="s">
        <v>68</v>
      </c>
      <c r="E8" s="40" t="s">
        <v>69</v>
      </c>
      <c r="F8" s="22">
        <v>24500</v>
      </c>
      <c r="G8" s="22">
        <v>2000000</v>
      </c>
      <c r="H8" s="23">
        <v>24500</v>
      </c>
      <c r="I8" s="22">
        <f t="shared" si="0"/>
        <v>1975500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1561</v>
      </c>
      <c r="C9" s="28" t="s">
        <v>1562</v>
      </c>
      <c r="D9" s="29" t="s">
        <v>27</v>
      </c>
      <c r="E9" s="40" t="s">
        <v>132</v>
      </c>
      <c r="F9" s="22">
        <v>15160</v>
      </c>
      <c r="G9" s="22">
        <v>35000</v>
      </c>
      <c r="H9" s="23">
        <f>18000+15160</f>
        <v>33160</v>
      </c>
      <c r="I9" s="22">
        <f t="shared" si="0"/>
        <v>1840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1174</v>
      </c>
      <c r="C10" s="28" t="s">
        <v>1562</v>
      </c>
      <c r="D10" s="29" t="s">
        <v>1578</v>
      </c>
      <c r="E10" s="40" t="s">
        <v>132</v>
      </c>
      <c r="F10" s="22">
        <v>10000</v>
      </c>
      <c r="G10" s="22">
        <v>10000</v>
      </c>
      <c r="H10" s="23">
        <v>10000</v>
      </c>
      <c r="I10" s="22">
        <f t="shared" si="0"/>
        <v>0</v>
      </c>
      <c r="J10" s="22" t="s">
        <v>23</v>
      </c>
      <c r="K10" s="24"/>
      <c r="L10" s="25"/>
    </row>
    <row r="11" spans="1:12" ht="15.75" x14ac:dyDescent="0.25">
      <c r="A11" s="20" t="s">
        <v>231</v>
      </c>
      <c r="B11" s="21" t="s">
        <v>1579</v>
      </c>
      <c r="C11" s="28" t="s">
        <v>1580</v>
      </c>
      <c r="D11" s="29" t="s">
        <v>240</v>
      </c>
      <c r="E11" s="40" t="s">
        <v>1581</v>
      </c>
      <c r="F11" s="22">
        <v>1723.75</v>
      </c>
      <c r="G11" s="22">
        <v>30000</v>
      </c>
      <c r="H11" s="23">
        <v>1723.75</v>
      </c>
      <c r="I11" s="22">
        <f t="shared" si="0"/>
        <v>28276.25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1381</v>
      </c>
      <c r="C12" s="28" t="s">
        <v>15</v>
      </c>
      <c r="D12" s="66" t="s">
        <v>18</v>
      </c>
      <c r="E12" s="40" t="s">
        <v>1032</v>
      </c>
      <c r="F12" s="22">
        <v>2200</v>
      </c>
      <c r="G12" s="22">
        <v>10000</v>
      </c>
      <c r="H12" s="23">
        <f>8000+2200</f>
        <v>10200</v>
      </c>
      <c r="I12" s="22">
        <f t="shared" si="0"/>
        <v>-200</v>
      </c>
      <c r="J12" s="22" t="s">
        <v>24</v>
      </c>
      <c r="K12" s="24"/>
      <c r="L12" s="25"/>
    </row>
    <row r="13" spans="1:12" ht="15.75" x14ac:dyDescent="0.25">
      <c r="A13" s="20" t="s">
        <v>17</v>
      </c>
      <c r="B13" s="21" t="s">
        <v>1558</v>
      </c>
      <c r="C13" s="28" t="s">
        <v>15</v>
      </c>
      <c r="D13" s="66" t="s">
        <v>1559</v>
      </c>
      <c r="E13" s="40" t="s">
        <v>1560</v>
      </c>
      <c r="F13" s="22">
        <v>2500</v>
      </c>
      <c r="G13" s="22">
        <v>3000</v>
      </c>
      <c r="H13" s="23">
        <f>2500+500</f>
        <v>3000</v>
      </c>
      <c r="I13" s="22">
        <f t="shared" ref="I13" si="1">G13-H13</f>
        <v>0</v>
      </c>
      <c r="J13" s="22" t="s">
        <v>23</v>
      </c>
      <c r="K13" s="24"/>
      <c r="L13" s="25"/>
    </row>
    <row r="14" spans="1:12" ht="15.75" x14ac:dyDescent="0.25">
      <c r="A14" s="20" t="s">
        <v>228</v>
      </c>
      <c r="B14" s="21" t="s">
        <v>1381</v>
      </c>
      <c r="C14" s="28" t="s">
        <v>15</v>
      </c>
      <c r="D14" s="66" t="s">
        <v>18</v>
      </c>
      <c r="E14" s="40" t="s">
        <v>1577</v>
      </c>
      <c r="F14" s="22">
        <v>56000</v>
      </c>
      <c r="G14" s="22">
        <v>500000</v>
      </c>
      <c r="H14" s="23">
        <v>56000</v>
      </c>
      <c r="I14" s="22">
        <f>G14-H14</f>
        <v>444000</v>
      </c>
      <c r="J14" s="22" t="s">
        <v>16</v>
      </c>
      <c r="K14" s="24"/>
      <c r="L14" s="25"/>
    </row>
    <row r="15" spans="1:12" ht="15.75" x14ac:dyDescent="0.25">
      <c r="A15" s="20" t="s">
        <v>30</v>
      </c>
      <c r="B15" s="21" t="s">
        <v>1545</v>
      </c>
      <c r="C15" s="28" t="s">
        <v>109</v>
      </c>
      <c r="D15" s="66" t="s">
        <v>48</v>
      </c>
      <c r="E15" s="40" t="s">
        <v>49</v>
      </c>
      <c r="F15" s="22">
        <v>24400</v>
      </c>
      <c r="G15" s="42">
        <v>270000</v>
      </c>
      <c r="H15" s="23">
        <f>44000+64000+24400</f>
        <v>132400</v>
      </c>
      <c r="I15" s="22">
        <f t="shared" si="0"/>
        <v>137600</v>
      </c>
      <c r="J15" s="22" t="s">
        <v>16</v>
      </c>
      <c r="K15" s="24"/>
      <c r="L15" s="25"/>
    </row>
    <row r="16" spans="1:12" ht="15.75" x14ac:dyDescent="0.25">
      <c r="A16" s="20" t="s">
        <v>231</v>
      </c>
      <c r="B16" s="21" t="s">
        <v>1537</v>
      </c>
      <c r="C16" s="28" t="s">
        <v>800</v>
      </c>
      <c r="D16" s="29" t="s">
        <v>509</v>
      </c>
      <c r="E16" s="40" t="s">
        <v>636</v>
      </c>
      <c r="F16" s="22">
        <v>935.45</v>
      </c>
      <c r="G16" s="42">
        <v>3900</v>
      </c>
      <c r="H16" s="23">
        <f>1658.5+809.65+935.45</f>
        <v>3403.6000000000004</v>
      </c>
      <c r="I16" s="22">
        <f>G16-H16</f>
        <v>496.39999999999964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1557</v>
      </c>
      <c r="C17" s="28" t="s">
        <v>15</v>
      </c>
      <c r="D17" s="29" t="s">
        <v>344</v>
      </c>
      <c r="E17" s="40" t="s">
        <v>361</v>
      </c>
      <c r="F17" s="22">
        <v>45000</v>
      </c>
      <c r="G17" s="22">
        <v>100000</v>
      </c>
      <c r="H17" s="23">
        <f>45000+45000</f>
        <v>90000</v>
      </c>
      <c r="I17" s="22">
        <f t="shared" si="0"/>
        <v>10000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1555</v>
      </c>
      <c r="C18" s="28" t="s">
        <v>187</v>
      </c>
      <c r="D18" s="29" t="s">
        <v>1556</v>
      </c>
      <c r="E18" s="40" t="s">
        <v>46</v>
      </c>
      <c r="F18" s="22">
        <v>111.8</v>
      </c>
      <c r="G18" s="22">
        <v>150</v>
      </c>
      <c r="H18" s="23">
        <v>111.8</v>
      </c>
      <c r="I18" s="22">
        <f t="shared" si="0"/>
        <v>38.200000000000003</v>
      </c>
      <c r="J18" s="22" t="s">
        <v>16</v>
      </c>
      <c r="K18" s="24"/>
      <c r="L18" s="25"/>
    </row>
    <row r="19" spans="1:12" ht="16.5" thickBot="1" x14ac:dyDescent="0.3">
      <c r="A19" s="43"/>
      <c r="B19" s="44"/>
      <c r="C19" s="45"/>
      <c r="D19" s="67"/>
      <c r="E19" s="47"/>
      <c r="F19" s="48"/>
      <c r="G19" s="62"/>
      <c r="H19" s="49"/>
      <c r="I19" s="48"/>
      <c r="J19" s="48"/>
      <c r="K19" s="50"/>
      <c r="L19" s="51"/>
    </row>
    <row r="20" spans="1:12" ht="16.5" thickBot="1" x14ac:dyDescent="0.3">
      <c r="A20" s="71"/>
      <c r="B20" s="72"/>
      <c r="C20" s="73"/>
      <c r="D20" s="74"/>
      <c r="E20" s="75"/>
      <c r="F20" s="76"/>
      <c r="G20" s="76"/>
      <c r="H20" s="77"/>
      <c r="I20" s="76"/>
      <c r="J20" s="76"/>
      <c r="K20" s="78"/>
      <c r="L20" s="79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2:L26"/>
  <sheetViews>
    <sheetView zoomScaleNormal="100" workbookViewId="0">
      <pane xSplit="3" topLeftCell="E1" activePane="topRight" state="frozen"/>
      <selection pane="topRight" activeCell="A22" sqref="A22:XFD22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1584</v>
      </c>
      <c r="C4" s="26" t="s">
        <v>130</v>
      </c>
      <c r="D4" s="65" t="s">
        <v>1585</v>
      </c>
      <c r="E4" s="39" t="s">
        <v>132</v>
      </c>
      <c r="F4" s="16">
        <v>11860</v>
      </c>
      <c r="G4" s="16">
        <v>10000</v>
      </c>
      <c r="H4" s="17">
        <v>11860</v>
      </c>
      <c r="I4" s="16">
        <f t="shared" ref="I4:I24" si="0">G4-H4</f>
        <v>-1860</v>
      </c>
      <c r="J4" s="16" t="s">
        <v>24</v>
      </c>
      <c r="K4" s="18"/>
      <c r="L4" s="19"/>
    </row>
    <row r="5" spans="1:12" ht="15.75" x14ac:dyDescent="0.25">
      <c r="A5" s="20" t="s">
        <v>22</v>
      </c>
      <c r="B5" s="21" t="s">
        <v>1356</v>
      </c>
      <c r="C5" s="28" t="s">
        <v>210</v>
      </c>
      <c r="D5" s="66" t="s">
        <v>1286</v>
      </c>
      <c r="E5" s="40" t="s">
        <v>212</v>
      </c>
      <c r="F5" s="22">
        <v>831</v>
      </c>
      <c r="G5" s="22">
        <v>6000</v>
      </c>
      <c r="H5" s="23">
        <f>2949+831</f>
        <v>3780</v>
      </c>
      <c r="I5" s="22">
        <f t="shared" si="0"/>
        <v>2220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1573</v>
      </c>
      <c r="C6" s="28" t="s">
        <v>15</v>
      </c>
      <c r="D6" s="66" t="s">
        <v>1574</v>
      </c>
      <c r="E6" s="40" t="s">
        <v>1575</v>
      </c>
      <c r="F6" s="22">
        <v>10000</v>
      </c>
      <c r="G6" s="22">
        <v>30000</v>
      </c>
      <c r="H6" s="23">
        <f>20000+10000</f>
        <v>30000</v>
      </c>
      <c r="I6" s="22">
        <f t="shared" si="0"/>
        <v>0</v>
      </c>
      <c r="J6" s="22" t="s">
        <v>23</v>
      </c>
      <c r="K6" s="24"/>
      <c r="L6" s="25"/>
    </row>
    <row r="7" spans="1:12" ht="15.75" x14ac:dyDescent="0.25">
      <c r="A7" s="20" t="s">
        <v>14</v>
      </c>
      <c r="B7" s="21" t="s">
        <v>1038</v>
      </c>
      <c r="C7" s="28" t="s">
        <v>34</v>
      </c>
      <c r="D7" s="66" t="s">
        <v>18</v>
      </c>
      <c r="E7" s="40" t="s">
        <v>1039</v>
      </c>
      <c r="F7" s="22">
        <v>4480</v>
      </c>
      <c r="G7" s="22">
        <v>100000</v>
      </c>
      <c r="H7" s="23">
        <v>4480</v>
      </c>
      <c r="I7" s="22">
        <f t="shared" si="0"/>
        <v>95520</v>
      </c>
      <c r="J7" s="22" t="s">
        <v>16</v>
      </c>
      <c r="K7" s="24"/>
      <c r="L7" s="25"/>
    </row>
    <row r="8" spans="1:12" ht="15.75" x14ac:dyDescent="0.25">
      <c r="A8" s="20" t="s">
        <v>40</v>
      </c>
      <c r="B8" s="21" t="s">
        <v>1456</v>
      </c>
      <c r="C8" s="28" t="s">
        <v>1586</v>
      </c>
      <c r="D8" s="66" t="s">
        <v>54</v>
      </c>
      <c r="E8" s="40" t="s">
        <v>59</v>
      </c>
      <c r="F8" s="22">
        <v>18000</v>
      </c>
      <c r="G8" s="22">
        <v>300000</v>
      </c>
      <c r="H8" s="23">
        <v>42000</v>
      </c>
      <c r="I8" s="22">
        <f t="shared" si="0"/>
        <v>258000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1587</v>
      </c>
      <c r="C9" s="28" t="s">
        <v>1562</v>
      </c>
      <c r="D9" s="29" t="s">
        <v>1588</v>
      </c>
      <c r="E9" s="40" t="s">
        <v>132</v>
      </c>
      <c r="F9" s="22">
        <v>10000</v>
      </c>
      <c r="G9" s="22">
        <v>10000</v>
      </c>
      <c r="H9" s="23">
        <v>10000</v>
      </c>
      <c r="I9" s="22">
        <f t="shared" si="0"/>
        <v>0</v>
      </c>
      <c r="J9" s="22" t="s">
        <v>23</v>
      </c>
      <c r="K9" s="24"/>
      <c r="L9" s="25"/>
    </row>
    <row r="10" spans="1:12" ht="15.75" x14ac:dyDescent="0.25">
      <c r="A10" s="20" t="s">
        <v>22</v>
      </c>
      <c r="B10" s="21" t="s">
        <v>1589</v>
      </c>
      <c r="C10" s="28" t="s">
        <v>701</v>
      </c>
      <c r="D10" s="29" t="s">
        <v>1087</v>
      </c>
      <c r="E10" s="40" t="s">
        <v>38</v>
      </c>
      <c r="F10" s="22">
        <v>201.5</v>
      </c>
      <c r="G10" s="22">
        <v>2000</v>
      </c>
      <c r="H10" s="23">
        <v>201.5</v>
      </c>
      <c r="I10" s="22">
        <f t="shared" si="0"/>
        <v>1798.5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1590</v>
      </c>
      <c r="C11" s="28" t="s">
        <v>15</v>
      </c>
      <c r="D11" s="29" t="s">
        <v>344</v>
      </c>
      <c r="E11" s="40" t="s">
        <v>1591</v>
      </c>
      <c r="F11" s="22">
        <v>4000</v>
      </c>
      <c r="G11" s="22">
        <v>5000</v>
      </c>
      <c r="H11" s="23">
        <v>4000</v>
      </c>
      <c r="I11" s="22">
        <f t="shared" si="0"/>
        <v>1000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1189</v>
      </c>
      <c r="C12" s="28" t="s">
        <v>15</v>
      </c>
      <c r="D12" s="66" t="s">
        <v>18</v>
      </c>
      <c r="E12" s="40" t="s">
        <v>1592</v>
      </c>
      <c r="F12" s="22">
        <v>5500</v>
      </c>
      <c r="G12" s="22">
        <v>4000</v>
      </c>
      <c r="H12" s="23">
        <v>5500</v>
      </c>
      <c r="I12" s="22">
        <f t="shared" si="0"/>
        <v>-1500</v>
      </c>
      <c r="J12" s="22" t="s">
        <v>24</v>
      </c>
      <c r="K12" s="24"/>
      <c r="L12" s="25"/>
    </row>
    <row r="13" spans="1:12" ht="15.75" x14ac:dyDescent="0.25">
      <c r="A13" s="20" t="s">
        <v>20</v>
      </c>
      <c r="B13" s="21" t="s">
        <v>1445</v>
      </c>
      <c r="C13" s="28" t="s">
        <v>1069</v>
      </c>
      <c r="D13" s="66" t="s">
        <v>1593</v>
      </c>
      <c r="E13" s="40" t="s">
        <v>365</v>
      </c>
      <c r="F13" s="22">
        <v>8500</v>
      </c>
      <c r="G13" s="22">
        <v>30000</v>
      </c>
      <c r="H13" s="23">
        <v>23435</v>
      </c>
      <c r="I13" s="22">
        <f t="shared" si="0"/>
        <v>6565</v>
      </c>
      <c r="J13" s="22" t="s">
        <v>16</v>
      </c>
      <c r="K13" s="24"/>
      <c r="L13" s="25"/>
    </row>
    <row r="14" spans="1:12" ht="15.75" x14ac:dyDescent="0.25">
      <c r="A14" s="20" t="s">
        <v>30</v>
      </c>
      <c r="B14" s="21" t="s">
        <v>451</v>
      </c>
      <c r="C14" s="28" t="s">
        <v>672</v>
      </c>
      <c r="D14" s="66" t="s">
        <v>1594</v>
      </c>
      <c r="E14" s="40" t="s">
        <v>674</v>
      </c>
      <c r="F14" s="22">
        <v>8000</v>
      </c>
      <c r="G14" s="22">
        <v>20000</v>
      </c>
      <c r="H14" s="23">
        <v>8000</v>
      </c>
      <c r="I14" s="22">
        <f t="shared" si="0"/>
        <v>12000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1381</v>
      </c>
      <c r="C15" s="28" t="s">
        <v>833</v>
      </c>
      <c r="D15" s="66" t="s">
        <v>48</v>
      </c>
      <c r="E15" s="40" t="s">
        <v>834</v>
      </c>
      <c r="F15" s="22">
        <v>10000</v>
      </c>
      <c r="G15" s="22">
        <v>100000</v>
      </c>
      <c r="H15" s="23">
        <v>10000</v>
      </c>
      <c r="I15" s="22">
        <f>G15-H15</f>
        <v>90000</v>
      </c>
      <c r="J15" s="22" t="s">
        <v>16</v>
      </c>
      <c r="K15" s="24"/>
      <c r="L15" s="25"/>
    </row>
    <row r="16" spans="1:12" ht="15.75" x14ac:dyDescent="0.25">
      <c r="A16" s="20" t="s">
        <v>228</v>
      </c>
      <c r="B16" s="21" t="s">
        <v>1595</v>
      </c>
      <c r="C16" s="28" t="s">
        <v>15</v>
      </c>
      <c r="D16" s="66" t="s">
        <v>18</v>
      </c>
      <c r="E16" s="40" t="s">
        <v>379</v>
      </c>
      <c r="F16" s="22">
        <v>30000</v>
      </c>
      <c r="G16" s="22">
        <v>30000</v>
      </c>
      <c r="H16" s="23">
        <v>30000</v>
      </c>
      <c r="I16" s="22">
        <f t="shared" ref="I16" si="1">G16-H16</f>
        <v>0</v>
      </c>
      <c r="J16" s="22" t="s">
        <v>23</v>
      </c>
      <c r="K16" s="24"/>
      <c r="L16" s="25"/>
    </row>
    <row r="17" spans="1:12" ht="15.75" x14ac:dyDescent="0.25">
      <c r="A17" s="20" t="s">
        <v>44</v>
      </c>
      <c r="B17" s="21" t="s">
        <v>1596</v>
      </c>
      <c r="C17" s="28" t="s">
        <v>15</v>
      </c>
      <c r="D17" s="66" t="s">
        <v>47</v>
      </c>
      <c r="E17" s="40" t="s">
        <v>207</v>
      </c>
      <c r="F17" s="22">
        <v>32000</v>
      </c>
      <c r="G17" s="22">
        <v>100000</v>
      </c>
      <c r="H17" s="23">
        <v>37900</v>
      </c>
      <c r="I17" s="22">
        <f>G17-H17</f>
        <v>62100</v>
      </c>
      <c r="J17" s="22" t="s">
        <v>16</v>
      </c>
      <c r="K17" s="24"/>
      <c r="L17" s="25"/>
    </row>
    <row r="18" spans="1:12" ht="15.75" x14ac:dyDescent="0.25">
      <c r="A18" s="20" t="s">
        <v>19</v>
      </c>
      <c r="B18" s="21" t="s">
        <v>1597</v>
      </c>
      <c r="C18" s="28" t="s">
        <v>15</v>
      </c>
      <c r="D18" s="66" t="s">
        <v>1099</v>
      </c>
      <c r="E18" s="40" t="s">
        <v>1100</v>
      </c>
      <c r="F18" s="22">
        <v>15000</v>
      </c>
      <c r="G18" s="42">
        <v>100000</v>
      </c>
      <c r="H18" s="23">
        <v>15000</v>
      </c>
      <c r="I18" s="22">
        <f t="shared" si="0"/>
        <v>85000</v>
      </c>
      <c r="J18" s="22" t="s">
        <v>16</v>
      </c>
      <c r="K18" s="24"/>
      <c r="L18" s="25"/>
    </row>
    <row r="19" spans="1:12" ht="15.75" x14ac:dyDescent="0.25">
      <c r="A19" s="20" t="s">
        <v>231</v>
      </c>
      <c r="B19" s="21" t="s">
        <v>1537</v>
      </c>
      <c r="C19" s="28" t="s">
        <v>800</v>
      </c>
      <c r="D19" s="29" t="s">
        <v>509</v>
      </c>
      <c r="E19" s="40" t="s">
        <v>636</v>
      </c>
      <c r="F19" s="22">
        <v>508.75</v>
      </c>
      <c r="G19" s="42">
        <v>3900</v>
      </c>
      <c r="H19" s="23">
        <f>1658.5+809.65+935.45+508.75</f>
        <v>3912.3500000000004</v>
      </c>
      <c r="I19" s="22">
        <f>G19-H19</f>
        <v>-12.350000000000364</v>
      </c>
      <c r="J19" s="22" t="s">
        <v>23</v>
      </c>
      <c r="K19" s="24"/>
      <c r="L19" s="25"/>
    </row>
    <row r="20" spans="1:12" ht="15.75" x14ac:dyDescent="0.25">
      <c r="A20" s="20" t="s">
        <v>19</v>
      </c>
      <c r="B20" s="21" t="s">
        <v>1598</v>
      </c>
      <c r="C20" s="28" t="s">
        <v>15</v>
      </c>
      <c r="D20" s="29" t="s">
        <v>344</v>
      </c>
      <c r="E20" s="40" t="s">
        <v>1599</v>
      </c>
      <c r="F20" s="22">
        <v>2200</v>
      </c>
      <c r="G20" s="42">
        <v>2000</v>
      </c>
      <c r="H20" s="23">
        <v>2200</v>
      </c>
      <c r="I20" s="22">
        <f>G20-H20</f>
        <v>-200</v>
      </c>
      <c r="J20" s="22" t="s">
        <v>24</v>
      </c>
      <c r="K20" s="24"/>
      <c r="L20" s="25"/>
    </row>
    <row r="21" spans="1:12" ht="15.75" x14ac:dyDescent="0.25">
      <c r="A21" s="20" t="s">
        <v>228</v>
      </c>
      <c r="B21" s="21" t="s">
        <v>1381</v>
      </c>
      <c r="C21" s="28" t="s">
        <v>15</v>
      </c>
      <c r="D21" s="29" t="s">
        <v>18</v>
      </c>
      <c r="E21" s="40" t="s">
        <v>379</v>
      </c>
      <c r="F21" s="22">
        <v>42000</v>
      </c>
      <c r="G21" s="42">
        <v>50000</v>
      </c>
      <c r="H21" s="23">
        <v>42000</v>
      </c>
      <c r="I21" s="22">
        <f>G21-H21</f>
        <v>8000</v>
      </c>
      <c r="J21" s="22" t="s">
        <v>16</v>
      </c>
      <c r="K21" s="24"/>
      <c r="L21" s="25"/>
    </row>
    <row r="22" spans="1:12" ht="15.75" x14ac:dyDescent="0.25">
      <c r="A22" s="20" t="s">
        <v>25</v>
      </c>
      <c r="B22" s="21" t="s">
        <v>1391</v>
      </c>
      <c r="C22" s="28" t="s">
        <v>1392</v>
      </c>
      <c r="D22" s="29" t="s">
        <v>551</v>
      </c>
      <c r="E22" s="40" t="s">
        <v>1393</v>
      </c>
      <c r="F22" s="22">
        <v>10350</v>
      </c>
      <c r="G22" s="22">
        <v>91584</v>
      </c>
      <c r="H22" s="23">
        <f>10350+10350</f>
        <v>20700</v>
      </c>
      <c r="I22" s="22">
        <f t="shared" ref="I22" si="2">G22-H22</f>
        <v>70884</v>
      </c>
      <c r="J22" s="22" t="s">
        <v>16</v>
      </c>
      <c r="K22" s="24"/>
      <c r="L22" s="25"/>
    </row>
    <row r="23" spans="1:12" ht="15.75" x14ac:dyDescent="0.25">
      <c r="A23" s="20" t="s">
        <v>20</v>
      </c>
      <c r="B23" s="21" t="s">
        <v>1381</v>
      </c>
      <c r="C23" s="28" t="s">
        <v>1600</v>
      </c>
      <c r="D23" s="29" t="s">
        <v>826</v>
      </c>
      <c r="E23" s="40" t="s">
        <v>1601</v>
      </c>
      <c r="F23" s="22">
        <v>1250</v>
      </c>
      <c r="G23" s="22">
        <v>23000</v>
      </c>
      <c r="H23" s="23">
        <v>1250</v>
      </c>
      <c r="I23" s="22">
        <f t="shared" si="0"/>
        <v>21750</v>
      </c>
      <c r="J23" s="22" t="s">
        <v>16</v>
      </c>
      <c r="K23" s="24"/>
      <c r="L23" s="25"/>
    </row>
    <row r="24" spans="1:12" ht="15.75" x14ac:dyDescent="0.25">
      <c r="A24" s="20" t="s">
        <v>21</v>
      </c>
      <c r="B24" s="21" t="s">
        <v>1381</v>
      </c>
      <c r="C24" s="28" t="s">
        <v>15</v>
      </c>
      <c r="D24" s="29" t="s">
        <v>18</v>
      </c>
      <c r="E24" s="40" t="s">
        <v>384</v>
      </c>
      <c r="F24" s="22">
        <v>60060</v>
      </c>
      <c r="G24" s="22">
        <v>50000</v>
      </c>
      <c r="H24" s="23">
        <v>60060</v>
      </c>
      <c r="I24" s="22">
        <f t="shared" si="0"/>
        <v>-10060</v>
      </c>
      <c r="J24" s="22" t="s">
        <v>24</v>
      </c>
      <c r="K24" s="24"/>
      <c r="L24" s="25"/>
    </row>
    <row r="25" spans="1:12" ht="16.5" thickBot="1" x14ac:dyDescent="0.3">
      <c r="A25" s="43"/>
      <c r="B25" s="44"/>
      <c r="C25" s="45"/>
      <c r="D25" s="67"/>
      <c r="E25" s="47"/>
      <c r="F25" s="48"/>
      <c r="G25" s="62"/>
      <c r="H25" s="49"/>
      <c r="I25" s="48"/>
      <c r="J25" s="48"/>
      <c r="K25" s="50"/>
      <c r="L25" s="51"/>
    </row>
    <row r="26" spans="1:12" ht="16.5" thickBot="1" x14ac:dyDescent="0.3">
      <c r="A26" s="71"/>
      <c r="B26" s="72"/>
      <c r="C26" s="73"/>
      <c r="D26" s="74"/>
      <c r="E26" s="75"/>
      <c r="F26" s="76"/>
      <c r="G26" s="76"/>
      <c r="H26" s="77"/>
      <c r="I26" s="76"/>
      <c r="J26" s="76"/>
      <c r="K26" s="78"/>
      <c r="L26" s="79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2:L18"/>
  <sheetViews>
    <sheetView workbookViewId="0">
      <pane xSplit="3" topLeftCell="D1" activePane="topRight" state="frozen"/>
      <selection pane="topRight" activeCell="F15" sqref="F1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1602</v>
      </c>
      <c r="C4" s="26" t="s">
        <v>130</v>
      </c>
      <c r="D4" s="65" t="s">
        <v>1603</v>
      </c>
      <c r="E4" s="39" t="s">
        <v>132</v>
      </c>
      <c r="F4" s="16">
        <v>10000</v>
      </c>
      <c r="G4" s="16">
        <v>10000</v>
      </c>
      <c r="H4" s="17">
        <v>10000</v>
      </c>
      <c r="I4" s="16">
        <f t="shared" ref="I4:I16" si="0">G4-H4</f>
        <v>0</v>
      </c>
      <c r="J4" s="16" t="s">
        <v>23</v>
      </c>
      <c r="K4" s="18"/>
      <c r="L4" s="19"/>
    </row>
    <row r="5" spans="1:12" ht="15.75" x14ac:dyDescent="0.25">
      <c r="A5" s="20" t="s">
        <v>22</v>
      </c>
      <c r="B5" s="21" t="s">
        <v>1356</v>
      </c>
      <c r="C5" s="28" t="s">
        <v>210</v>
      </c>
      <c r="D5" s="66" t="s">
        <v>1286</v>
      </c>
      <c r="E5" s="40" t="s">
        <v>212</v>
      </c>
      <c r="F5" s="22">
        <v>295.60000000000002</v>
      </c>
      <c r="G5" s="22">
        <v>6000</v>
      </c>
      <c r="H5" s="23">
        <f>2949+831+295.6</f>
        <v>4075.6</v>
      </c>
      <c r="I5" s="22">
        <f t="shared" si="0"/>
        <v>1924.4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1604</v>
      </c>
      <c r="C6" s="28" t="s">
        <v>1605</v>
      </c>
      <c r="D6" s="66" t="s">
        <v>1574</v>
      </c>
      <c r="E6" s="40" t="s">
        <v>1606</v>
      </c>
      <c r="F6" s="22">
        <v>15000</v>
      </c>
      <c r="G6" s="22">
        <v>100000</v>
      </c>
      <c r="H6" s="23">
        <v>15000</v>
      </c>
      <c r="I6" s="22">
        <f t="shared" si="0"/>
        <v>85000</v>
      </c>
      <c r="J6" s="22" t="s">
        <v>16</v>
      </c>
      <c r="K6" s="24"/>
      <c r="L6" s="25"/>
    </row>
    <row r="7" spans="1:12" ht="15.75" x14ac:dyDescent="0.25">
      <c r="A7" s="20" t="s">
        <v>1243</v>
      </c>
      <c r="B7" s="21" t="s">
        <v>1609</v>
      </c>
      <c r="C7" s="28" t="s">
        <v>330</v>
      </c>
      <c r="D7" s="66" t="s">
        <v>35</v>
      </c>
      <c r="E7" s="40" t="s">
        <v>331</v>
      </c>
      <c r="F7" s="22">
        <v>146</v>
      </c>
      <c r="G7" s="22">
        <v>200</v>
      </c>
      <c r="H7" s="23">
        <v>146</v>
      </c>
      <c r="I7" s="22">
        <f t="shared" si="0"/>
        <v>54</v>
      </c>
      <c r="J7" s="22" t="s">
        <v>16</v>
      </c>
      <c r="K7" s="24"/>
      <c r="L7" s="25"/>
    </row>
    <row r="8" spans="1:12" ht="15.75" x14ac:dyDescent="0.25">
      <c r="A8" s="20" t="s">
        <v>20</v>
      </c>
      <c r="B8" s="21" t="s">
        <v>1611</v>
      </c>
      <c r="C8" s="28" t="s">
        <v>669</v>
      </c>
      <c r="D8" s="66" t="s">
        <v>1593</v>
      </c>
      <c r="E8" s="40" t="s">
        <v>270</v>
      </c>
      <c r="F8" s="22">
        <v>3000</v>
      </c>
      <c r="G8" s="22">
        <v>4000</v>
      </c>
      <c r="H8" s="23">
        <v>3000</v>
      </c>
      <c r="I8" s="22">
        <f t="shared" si="0"/>
        <v>1000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1607</v>
      </c>
      <c r="C9" s="28" t="s">
        <v>357</v>
      </c>
      <c r="D9" s="29" t="s">
        <v>1011</v>
      </c>
      <c r="E9" s="40" t="s">
        <v>633</v>
      </c>
      <c r="F9" s="22">
        <v>119.2</v>
      </c>
      <c r="G9" s="22">
        <v>100</v>
      </c>
      <c r="H9" s="23">
        <v>119.2</v>
      </c>
      <c r="I9" s="22">
        <f t="shared" si="0"/>
        <v>-19.200000000000003</v>
      </c>
      <c r="J9" s="22" t="s">
        <v>24</v>
      </c>
      <c r="K9" s="24"/>
      <c r="L9" s="25"/>
    </row>
    <row r="10" spans="1:12" ht="15.75" x14ac:dyDescent="0.25">
      <c r="A10" s="20" t="s">
        <v>21</v>
      </c>
      <c r="B10" s="21" t="s">
        <v>1590</v>
      </c>
      <c r="C10" s="28" t="s">
        <v>15</v>
      </c>
      <c r="D10" s="29" t="s">
        <v>344</v>
      </c>
      <c r="E10" s="40" t="s">
        <v>1591</v>
      </c>
      <c r="F10" s="22">
        <v>5100</v>
      </c>
      <c r="G10" s="22">
        <v>5000</v>
      </c>
      <c r="H10" s="23">
        <f>4000+5100</f>
        <v>9100</v>
      </c>
      <c r="I10" s="22">
        <f t="shared" si="0"/>
        <v>-4100</v>
      </c>
      <c r="J10" s="22" t="s">
        <v>24</v>
      </c>
      <c r="K10" s="24"/>
      <c r="L10" s="25"/>
    </row>
    <row r="11" spans="1:12" ht="15.75" x14ac:dyDescent="0.25">
      <c r="A11" s="20" t="s">
        <v>30</v>
      </c>
      <c r="B11" s="21" t="s">
        <v>451</v>
      </c>
      <c r="C11" s="28" t="s">
        <v>672</v>
      </c>
      <c r="D11" s="66" t="s">
        <v>1594</v>
      </c>
      <c r="E11" s="40" t="s">
        <v>674</v>
      </c>
      <c r="F11" s="22">
        <v>4000</v>
      </c>
      <c r="G11" s="22">
        <v>20000</v>
      </c>
      <c r="H11" s="23">
        <f>8000+4000</f>
        <v>12000</v>
      </c>
      <c r="I11" s="22">
        <f t="shared" si="0"/>
        <v>8000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1381</v>
      </c>
      <c r="C12" s="28" t="s">
        <v>833</v>
      </c>
      <c r="D12" s="66" t="s">
        <v>48</v>
      </c>
      <c r="E12" s="40" t="s">
        <v>834</v>
      </c>
      <c r="F12" s="22">
        <v>32500</v>
      </c>
      <c r="G12" s="22">
        <v>100000</v>
      </c>
      <c r="H12" s="23">
        <f>10000+32500</f>
        <v>42500</v>
      </c>
      <c r="I12" s="22">
        <f>G12-H12</f>
        <v>57500</v>
      </c>
      <c r="J12" s="22" t="s">
        <v>16</v>
      </c>
      <c r="K12" s="24"/>
      <c r="L12" s="25"/>
    </row>
    <row r="13" spans="1:12" ht="15.75" x14ac:dyDescent="0.25">
      <c r="A13" s="20" t="s">
        <v>19</v>
      </c>
      <c r="B13" s="21" t="s">
        <v>1608</v>
      </c>
      <c r="C13" s="28" t="s">
        <v>15</v>
      </c>
      <c r="D13" s="29" t="s">
        <v>344</v>
      </c>
      <c r="E13" s="40" t="s">
        <v>220</v>
      </c>
      <c r="F13" s="22">
        <v>4000</v>
      </c>
      <c r="G13" s="42">
        <v>5000</v>
      </c>
      <c r="H13" s="23">
        <v>4000</v>
      </c>
      <c r="I13" s="22">
        <f>G13-H13</f>
        <v>1000</v>
      </c>
      <c r="J13" s="22" t="s">
        <v>16</v>
      </c>
      <c r="K13" s="24"/>
      <c r="L13" s="25"/>
    </row>
    <row r="14" spans="1:12" ht="15.75" x14ac:dyDescent="0.25">
      <c r="A14" s="20" t="s">
        <v>20</v>
      </c>
      <c r="B14" s="21" t="s">
        <v>1610</v>
      </c>
      <c r="C14" s="28" t="s">
        <v>79</v>
      </c>
      <c r="D14" s="29" t="s">
        <v>18</v>
      </c>
      <c r="E14" s="40" t="s">
        <v>191</v>
      </c>
      <c r="F14" s="22">
        <f>2500+3880</f>
        <v>6380</v>
      </c>
      <c r="G14" s="42">
        <v>6000</v>
      </c>
      <c r="H14" s="23">
        <v>6380</v>
      </c>
      <c r="I14" s="22">
        <f>G14-H14</f>
        <v>-380</v>
      </c>
      <c r="J14" s="22" t="s">
        <v>24</v>
      </c>
      <c r="K14" s="24"/>
      <c r="L14" s="25"/>
    </row>
    <row r="15" spans="1:12" ht="15.75" x14ac:dyDescent="0.25">
      <c r="A15" s="20" t="s">
        <v>25</v>
      </c>
      <c r="B15" s="21" t="s">
        <v>1391</v>
      </c>
      <c r="C15" s="28" t="s">
        <v>1392</v>
      </c>
      <c r="D15" s="29" t="s">
        <v>551</v>
      </c>
      <c r="E15" s="40" t="s">
        <v>1393</v>
      </c>
      <c r="F15" s="22">
        <v>31185.65</v>
      </c>
      <c r="G15" s="22">
        <v>350000</v>
      </c>
      <c r="H15" s="23">
        <f>31792.33+31185.65</f>
        <v>62977.98</v>
      </c>
      <c r="I15" s="22">
        <f t="shared" ref="I15" si="1">G15-H15</f>
        <v>287022.02</v>
      </c>
      <c r="J15" s="22" t="s">
        <v>16</v>
      </c>
      <c r="K15" s="24"/>
      <c r="L15" s="25"/>
    </row>
    <row r="16" spans="1:12" ht="15.75" x14ac:dyDescent="0.25">
      <c r="A16" s="20" t="s">
        <v>82</v>
      </c>
      <c r="B16" s="21" t="s">
        <v>1306</v>
      </c>
      <c r="C16" s="28" t="s">
        <v>15</v>
      </c>
      <c r="D16" s="29" t="s">
        <v>374</v>
      </c>
      <c r="E16" s="40" t="s">
        <v>81</v>
      </c>
      <c r="F16" s="22">
        <v>155</v>
      </c>
      <c r="G16" s="22">
        <v>2000</v>
      </c>
      <c r="H16" s="23">
        <v>1065</v>
      </c>
      <c r="I16" s="22">
        <f t="shared" si="0"/>
        <v>935</v>
      </c>
      <c r="J16" s="22" t="s">
        <v>16</v>
      </c>
      <c r="K16" s="24"/>
      <c r="L16" s="25"/>
    </row>
    <row r="17" spans="1:12" ht="16.5" thickBot="1" x14ac:dyDescent="0.3">
      <c r="A17" s="43"/>
      <c r="B17" s="44"/>
      <c r="C17" s="45"/>
      <c r="D17" s="67"/>
      <c r="E17" s="47"/>
      <c r="F17" s="48"/>
      <c r="G17" s="62"/>
      <c r="H17" s="49"/>
      <c r="I17" s="48"/>
      <c r="J17" s="48"/>
      <c r="K17" s="50"/>
      <c r="L17" s="51"/>
    </row>
    <row r="18" spans="1:12" ht="16.5" thickBot="1" x14ac:dyDescent="0.3">
      <c r="A18" s="71"/>
      <c r="B18" s="72"/>
      <c r="C18" s="73"/>
      <c r="D18" s="74"/>
      <c r="E18" s="75"/>
      <c r="F18" s="76"/>
      <c r="G18" s="76"/>
      <c r="H18" s="77"/>
      <c r="I18" s="76"/>
      <c r="J18" s="76"/>
      <c r="K18" s="78"/>
      <c r="L18" s="79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2:L21"/>
  <sheetViews>
    <sheetView workbookViewId="0">
      <pane xSplit="3" topLeftCell="E1" activePane="topRight" state="frozen"/>
      <selection pane="topRight" activeCell="A14" sqref="A14:XFD14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20</v>
      </c>
      <c r="B4" s="15" t="s">
        <v>1445</v>
      </c>
      <c r="C4" s="26" t="s">
        <v>437</v>
      </c>
      <c r="D4" s="65" t="s">
        <v>1593</v>
      </c>
      <c r="E4" s="39" t="s">
        <v>365</v>
      </c>
      <c r="F4" s="16">
        <f>5397+3000</f>
        <v>8397</v>
      </c>
      <c r="G4" s="16">
        <v>30000</v>
      </c>
      <c r="H4" s="17">
        <v>31832</v>
      </c>
      <c r="I4" s="16">
        <f t="shared" ref="I4:I19" si="0">G4-H4</f>
        <v>-1832</v>
      </c>
      <c r="J4" s="16" t="s">
        <v>24</v>
      </c>
      <c r="K4" s="18"/>
      <c r="L4" s="19"/>
    </row>
    <row r="5" spans="1:12" ht="15.75" x14ac:dyDescent="0.25">
      <c r="A5" s="20" t="s">
        <v>22</v>
      </c>
      <c r="B5" s="21" t="s">
        <v>1356</v>
      </c>
      <c r="C5" s="28" t="s">
        <v>210</v>
      </c>
      <c r="D5" s="66" t="s">
        <v>1286</v>
      </c>
      <c r="E5" s="40" t="s">
        <v>212</v>
      </c>
      <c r="F5" s="22">
        <v>527.6</v>
      </c>
      <c r="G5" s="22">
        <v>6000</v>
      </c>
      <c r="H5" s="23">
        <f>2949+831+295.6+527.6</f>
        <v>4603.2</v>
      </c>
      <c r="I5" s="22">
        <f t="shared" si="0"/>
        <v>1396.8000000000002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1604</v>
      </c>
      <c r="C6" s="28" t="s">
        <v>1605</v>
      </c>
      <c r="D6" s="66" t="s">
        <v>1574</v>
      </c>
      <c r="E6" s="40" t="s">
        <v>1606</v>
      </c>
      <c r="F6" s="22">
        <v>24000</v>
      </c>
      <c r="G6" s="22">
        <v>100000</v>
      </c>
      <c r="H6" s="23">
        <f>15000+24000</f>
        <v>39000</v>
      </c>
      <c r="I6" s="22">
        <f t="shared" si="0"/>
        <v>61000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1612</v>
      </c>
      <c r="C7" s="28" t="s">
        <v>95</v>
      </c>
      <c r="D7" s="66" t="s">
        <v>18</v>
      </c>
      <c r="E7" s="40" t="s">
        <v>610</v>
      </c>
      <c r="F7" s="22">
        <v>4000</v>
      </c>
      <c r="G7" s="22">
        <v>4000</v>
      </c>
      <c r="H7" s="23">
        <v>4000</v>
      </c>
      <c r="I7" s="22">
        <f t="shared" si="0"/>
        <v>0</v>
      </c>
      <c r="J7" s="22" t="s">
        <v>23</v>
      </c>
      <c r="K7" s="24"/>
      <c r="L7" s="25"/>
    </row>
    <row r="8" spans="1:12" ht="15.75" x14ac:dyDescent="0.25">
      <c r="A8" s="20" t="s">
        <v>20</v>
      </c>
      <c r="B8" s="21" t="s">
        <v>1611</v>
      </c>
      <c r="C8" s="28" t="s">
        <v>669</v>
      </c>
      <c r="D8" s="66" t="s">
        <v>1593</v>
      </c>
      <c r="E8" s="40" t="s">
        <v>270</v>
      </c>
      <c r="F8" s="22">
        <v>780</v>
      </c>
      <c r="G8" s="22">
        <v>4000</v>
      </c>
      <c r="H8" s="23">
        <f>3000+780</f>
        <v>3780</v>
      </c>
      <c r="I8" s="22">
        <f t="shared" si="0"/>
        <v>220</v>
      </c>
      <c r="J8" s="22" t="s">
        <v>16</v>
      </c>
      <c r="K8" s="24"/>
      <c r="L8" s="25"/>
    </row>
    <row r="9" spans="1:12" ht="15.75" x14ac:dyDescent="0.25">
      <c r="A9" s="20" t="s">
        <v>44</v>
      </c>
      <c r="B9" s="21" t="s">
        <v>1381</v>
      </c>
      <c r="C9" s="28" t="s">
        <v>15</v>
      </c>
      <c r="D9" s="29" t="s">
        <v>1613</v>
      </c>
      <c r="E9" s="40" t="s">
        <v>207</v>
      </c>
      <c r="F9" s="22">
        <v>20500</v>
      </c>
      <c r="G9" s="22">
        <v>100000</v>
      </c>
      <c r="H9" s="23">
        <v>58400</v>
      </c>
      <c r="I9" s="22">
        <f t="shared" si="0"/>
        <v>41600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1396</v>
      </c>
      <c r="C10" s="28" t="s">
        <v>560</v>
      </c>
      <c r="D10" s="29" t="s">
        <v>43</v>
      </c>
      <c r="E10" s="40" t="s">
        <v>38</v>
      </c>
      <c r="F10" s="22">
        <v>171.2</v>
      </c>
      <c r="G10" s="22">
        <v>500</v>
      </c>
      <c r="H10" s="23">
        <v>171.2</v>
      </c>
      <c r="I10" s="22">
        <f t="shared" si="0"/>
        <v>328.8</v>
      </c>
      <c r="J10" s="22" t="s">
        <v>16</v>
      </c>
      <c r="K10" s="24"/>
      <c r="L10" s="25"/>
    </row>
    <row r="11" spans="1:12" ht="15.75" x14ac:dyDescent="0.25">
      <c r="A11" s="20" t="s">
        <v>30</v>
      </c>
      <c r="B11" s="21" t="s">
        <v>451</v>
      </c>
      <c r="C11" s="28" t="s">
        <v>672</v>
      </c>
      <c r="D11" s="66" t="s">
        <v>1594</v>
      </c>
      <c r="E11" s="40" t="s">
        <v>674</v>
      </c>
      <c r="F11" s="22">
        <v>8650</v>
      </c>
      <c r="G11" s="22">
        <v>20000</v>
      </c>
      <c r="H11" s="23">
        <f>8000+4000+8650</f>
        <v>20650</v>
      </c>
      <c r="I11" s="22">
        <f t="shared" si="0"/>
        <v>-650</v>
      </c>
      <c r="J11" s="22" t="s">
        <v>24</v>
      </c>
      <c r="K11" s="24"/>
      <c r="L11" s="25"/>
    </row>
    <row r="12" spans="1:12" ht="15.75" x14ac:dyDescent="0.25">
      <c r="A12" s="20" t="s">
        <v>228</v>
      </c>
      <c r="B12" s="21" t="s">
        <v>1381</v>
      </c>
      <c r="C12" s="28" t="s">
        <v>15</v>
      </c>
      <c r="D12" s="66" t="s">
        <v>18</v>
      </c>
      <c r="E12" s="40" t="s">
        <v>1348</v>
      </c>
      <c r="F12" s="22">
        <v>32000</v>
      </c>
      <c r="G12" s="22">
        <v>100000</v>
      </c>
      <c r="H12" s="23">
        <v>32000</v>
      </c>
      <c r="I12" s="22">
        <f>G12-H12</f>
        <v>68000</v>
      </c>
      <c r="J12" s="22" t="s">
        <v>16</v>
      </c>
      <c r="K12" s="24"/>
      <c r="L12" s="25"/>
    </row>
    <row r="13" spans="1:12" ht="15.75" x14ac:dyDescent="0.25">
      <c r="A13" s="20" t="s">
        <v>19</v>
      </c>
      <c r="B13" s="21" t="s">
        <v>1608</v>
      </c>
      <c r="C13" s="28" t="s">
        <v>15</v>
      </c>
      <c r="D13" s="29" t="s">
        <v>344</v>
      </c>
      <c r="E13" s="40" t="s">
        <v>220</v>
      </c>
      <c r="F13" s="22">
        <v>2010</v>
      </c>
      <c r="G13" s="42">
        <v>5000</v>
      </c>
      <c r="H13" s="23">
        <f>4000+2010</f>
        <v>6010</v>
      </c>
      <c r="I13" s="22">
        <f>G13-H13</f>
        <v>-1010</v>
      </c>
      <c r="J13" s="22" t="s">
        <v>24</v>
      </c>
      <c r="K13" s="24"/>
      <c r="L13" s="25"/>
    </row>
    <row r="14" spans="1:12" ht="15.75" x14ac:dyDescent="0.25">
      <c r="A14" s="20" t="s">
        <v>40</v>
      </c>
      <c r="B14" s="21" t="s">
        <v>1456</v>
      </c>
      <c r="C14" s="28" t="s">
        <v>1586</v>
      </c>
      <c r="D14" s="66" t="s">
        <v>54</v>
      </c>
      <c r="E14" s="40" t="s">
        <v>59</v>
      </c>
      <c r="F14" s="22">
        <v>3000</v>
      </c>
      <c r="G14" s="22">
        <v>300000</v>
      </c>
      <c r="H14" s="23">
        <f>42000+3000</f>
        <v>45000</v>
      </c>
      <c r="I14" s="22">
        <f t="shared" ref="I14" si="1">G14-H14</f>
        <v>255000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1617</v>
      </c>
      <c r="C15" s="28" t="s">
        <v>462</v>
      </c>
      <c r="D15" s="66" t="s">
        <v>18</v>
      </c>
      <c r="E15" s="40" t="s">
        <v>640</v>
      </c>
      <c r="F15" s="22">
        <v>19000</v>
      </c>
      <c r="G15" s="22">
        <v>15000</v>
      </c>
      <c r="H15" s="23">
        <v>19000</v>
      </c>
      <c r="I15" s="22">
        <f>G15-H15</f>
        <v>-4000</v>
      </c>
      <c r="J15" s="22" t="s">
        <v>24</v>
      </c>
      <c r="K15" s="24"/>
      <c r="L15" s="25"/>
    </row>
    <row r="16" spans="1:12" ht="15.75" x14ac:dyDescent="0.25">
      <c r="A16" s="20" t="s">
        <v>40</v>
      </c>
      <c r="B16" s="21" t="s">
        <v>1381</v>
      </c>
      <c r="C16" s="28" t="s">
        <v>15</v>
      </c>
      <c r="D16" s="66" t="s">
        <v>18</v>
      </c>
      <c r="E16" s="40" t="s">
        <v>1620</v>
      </c>
      <c r="F16" s="22">
        <v>3380</v>
      </c>
      <c r="G16" s="22">
        <v>30000</v>
      </c>
      <c r="H16" s="23">
        <v>3380</v>
      </c>
      <c r="I16" s="22">
        <f>G16-H16</f>
        <v>26620</v>
      </c>
      <c r="J16" s="22" t="s">
        <v>16</v>
      </c>
      <c r="K16" s="24"/>
      <c r="L16" s="25"/>
    </row>
    <row r="17" spans="1:12" ht="15.75" x14ac:dyDescent="0.25">
      <c r="A17" s="20" t="s">
        <v>20</v>
      </c>
      <c r="B17" s="21" t="s">
        <v>1618</v>
      </c>
      <c r="C17" s="28" t="s">
        <v>1619</v>
      </c>
      <c r="D17" s="29" t="s">
        <v>42</v>
      </c>
      <c r="E17" s="40" t="s">
        <v>470</v>
      </c>
      <c r="F17" s="22">
        <v>4000</v>
      </c>
      <c r="G17" s="42">
        <v>30000</v>
      </c>
      <c r="H17" s="23">
        <v>4000</v>
      </c>
      <c r="I17" s="22">
        <f>G17-H17</f>
        <v>26000</v>
      </c>
      <c r="J17" s="22" t="s">
        <v>16</v>
      </c>
      <c r="K17" s="24"/>
      <c r="L17" s="25"/>
    </row>
    <row r="18" spans="1:12" ht="15.75" x14ac:dyDescent="0.25">
      <c r="A18" s="20" t="s">
        <v>231</v>
      </c>
      <c r="B18" s="21" t="s">
        <v>1579</v>
      </c>
      <c r="C18" s="28" t="s">
        <v>1616</v>
      </c>
      <c r="D18" s="29" t="s">
        <v>240</v>
      </c>
      <c r="E18" s="40" t="s">
        <v>1581</v>
      </c>
      <c r="F18" s="22">
        <v>554.95000000000005</v>
      </c>
      <c r="G18" s="22">
        <v>30000</v>
      </c>
      <c r="H18" s="23">
        <v>2412.4</v>
      </c>
      <c r="I18" s="22">
        <f t="shared" ref="I18" si="2">G18-H18</f>
        <v>27587.599999999999</v>
      </c>
      <c r="J18" s="22" t="s">
        <v>16</v>
      </c>
      <c r="K18" s="24"/>
      <c r="L18" s="25"/>
    </row>
    <row r="19" spans="1:12" ht="15.75" x14ac:dyDescent="0.25">
      <c r="A19" s="20" t="s">
        <v>14</v>
      </c>
      <c r="B19" s="21" t="s">
        <v>1610</v>
      </c>
      <c r="C19" s="28" t="s">
        <v>15</v>
      </c>
      <c r="D19" s="29" t="s">
        <v>1614</v>
      </c>
      <c r="E19" s="40" t="s">
        <v>1615</v>
      </c>
      <c r="F19" s="22">
        <v>3000</v>
      </c>
      <c r="G19" s="22">
        <v>20000</v>
      </c>
      <c r="H19" s="23">
        <v>3000</v>
      </c>
      <c r="I19" s="22">
        <f t="shared" si="0"/>
        <v>17000</v>
      </c>
      <c r="J19" s="22" t="s">
        <v>16</v>
      </c>
      <c r="K19" s="24"/>
      <c r="L19" s="25"/>
    </row>
    <row r="20" spans="1:12" ht="16.5" thickBot="1" x14ac:dyDescent="0.3">
      <c r="A20" s="43"/>
      <c r="B20" s="44"/>
      <c r="C20" s="45"/>
      <c r="D20" s="67"/>
      <c r="E20" s="47"/>
      <c r="F20" s="48"/>
      <c r="G20" s="62"/>
      <c r="H20" s="49"/>
      <c r="I20" s="48"/>
      <c r="J20" s="48"/>
      <c r="K20" s="50"/>
      <c r="L20" s="51"/>
    </row>
    <row r="21" spans="1:12" ht="16.5" thickBot="1" x14ac:dyDescent="0.3">
      <c r="A21" s="71"/>
      <c r="B21" s="72"/>
      <c r="C21" s="73"/>
      <c r="D21" s="74"/>
      <c r="E21" s="75"/>
      <c r="F21" s="76"/>
      <c r="G21" s="76"/>
      <c r="H21" s="77"/>
      <c r="I21" s="76"/>
      <c r="J21" s="76"/>
      <c r="K21" s="78"/>
      <c r="L21" s="79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2:L18"/>
  <sheetViews>
    <sheetView workbookViewId="0">
      <pane xSplit="3" topLeftCell="E1" activePane="topRight" state="frozen"/>
      <selection pane="topRight" activeCell="A9" sqref="A9:XFD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1621</v>
      </c>
      <c r="C4" s="26" t="s">
        <v>32</v>
      </c>
      <c r="D4" s="65" t="s">
        <v>18</v>
      </c>
      <c r="E4" s="39" t="s">
        <v>1622</v>
      </c>
      <c r="F4" s="16">
        <v>2850</v>
      </c>
      <c r="G4" s="16">
        <v>10000</v>
      </c>
      <c r="H4" s="17">
        <v>2850</v>
      </c>
      <c r="I4" s="16">
        <f t="shared" ref="I4:I16" si="0">G4-H4</f>
        <v>7150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1356</v>
      </c>
      <c r="C5" s="28" t="s">
        <v>210</v>
      </c>
      <c r="D5" s="66" t="s">
        <v>1286</v>
      </c>
      <c r="E5" s="40" t="s">
        <v>212</v>
      </c>
      <c r="F5" s="22">
        <v>320.60000000000002</v>
      </c>
      <c r="G5" s="22">
        <v>6000</v>
      </c>
      <c r="H5" s="23">
        <f>2949+831+295.6+527.6+320.6</f>
        <v>4923.8</v>
      </c>
      <c r="I5" s="22">
        <f t="shared" si="0"/>
        <v>1076.1999999999998</v>
      </c>
      <c r="J5" s="22" t="s">
        <v>16</v>
      </c>
      <c r="K5" s="24"/>
      <c r="L5" s="25"/>
    </row>
    <row r="6" spans="1:12" ht="15.75" x14ac:dyDescent="0.25">
      <c r="A6" s="20" t="s">
        <v>19</v>
      </c>
      <c r="B6" s="21" t="s">
        <v>1604</v>
      </c>
      <c r="C6" s="28" t="s">
        <v>1605</v>
      </c>
      <c r="D6" s="66" t="s">
        <v>1574</v>
      </c>
      <c r="E6" s="40" t="s">
        <v>1606</v>
      </c>
      <c r="F6" s="22">
        <v>30000</v>
      </c>
      <c r="G6" s="22">
        <v>100000</v>
      </c>
      <c r="H6" s="23">
        <f>15000+24000+30000</f>
        <v>69000</v>
      </c>
      <c r="I6" s="22">
        <f t="shared" si="0"/>
        <v>31000</v>
      </c>
      <c r="J6" s="22" t="s">
        <v>16</v>
      </c>
      <c r="K6" s="24"/>
      <c r="L6" s="25"/>
    </row>
    <row r="7" spans="1:12" ht="15.75" x14ac:dyDescent="0.25">
      <c r="A7" s="20" t="s">
        <v>20</v>
      </c>
      <c r="B7" s="21" t="s">
        <v>1612</v>
      </c>
      <c r="C7" s="28" t="s">
        <v>95</v>
      </c>
      <c r="D7" s="66" t="s">
        <v>18</v>
      </c>
      <c r="E7" s="40" t="s">
        <v>610</v>
      </c>
      <c r="F7" s="22">
        <v>10750</v>
      </c>
      <c r="G7" s="22">
        <v>15000</v>
      </c>
      <c r="H7" s="23">
        <f>4000+10750</f>
        <v>14750</v>
      </c>
      <c r="I7" s="22">
        <f t="shared" si="0"/>
        <v>250</v>
      </c>
      <c r="J7" s="22" t="s">
        <v>16</v>
      </c>
      <c r="K7" s="24"/>
      <c r="L7" s="25"/>
    </row>
    <row r="8" spans="1:12" ht="15.75" x14ac:dyDescent="0.25">
      <c r="A8" s="20" t="s">
        <v>30</v>
      </c>
      <c r="B8" s="21" t="s">
        <v>1545</v>
      </c>
      <c r="C8" s="28" t="s">
        <v>109</v>
      </c>
      <c r="D8" s="66" t="s">
        <v>48</v>
      </c>
      <c r="E8" s="40" t="s">
        <v>49</v>
      </c>
      <c r="F8" s="22">
        <v>44000</v>
      </c>
      <c r="G8" s="42">
        <v>270000</v>
      </c>
      <c r="H8" s="23">
        <f>44000+64000+24400+44000</f>
        <v>176400</v>
      </c>
      <c r="I8" s="22">
        <f t="shared" si="0"/>
        <v>93600</v>
      </c>
      <c r="J8" s="22" t="s">
        <v>16</v>
      </c>
      <c r="K8" s="24"/>
      <c r="L8" s="25"/>
    </row>
    <row r="9" spans="1:12" ht="15.75" x14ac:dyDescent="0.25">
      <c r="A9" s="20" t="s">
        <v>44</v>
      </c>
      <c r="B9" s="21" t="s">
        <v>1381</v>
      </c>
      <c r="C9" s="28" t="s">
        <v>15</v>
      </c>
      <c r="D9" s="29" t="s">
        <v>1613</v>
      </c>
      <c r="E9" s="40" t="s">
        <v>207</v>
      </c>
      <c r="F9" s="22">
        <v>6250</v>
      </c>
      <c r="G9" s="22">
        <v>100000</v>
      </c>
      <c r="H9" s="23">
        <f>58400+6550</f>
        <v>64950</v>
      </c>
      <c r="I9" s="22">
        <f t="shared" si="0"/>
        <v>35050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1396</v>
      </c>
      <c r="C10" s="28" t="s">
        <v>560</v>
      </c>
      <c r="D10" s="29" t="s">
        <v>43</v>
      </c>
      <c r="E10" s="40" t="s">
        <v>38</v>
      </c>
      <c r="F10" s="22">
        <v>197.2</v>
      </c>
      <c r="G10" s="22">
        <v>500</v>
      </c>
      <c r="H10" s="23">
        <f>171.2+197.2</f>
        <v>368.4</v>
      </c>
      <c r="I10" s="22">
        <f t="shared" si="0"/>
        <v>131.60000000000002</v>
      </c>
      <c r="J10" s="22" t="s">
        <v>16</v>
      </c>
      <c r="K10" s="24"/>
      <c r="L10" s="25"/>
    </row>
    <row r="11" spans="1:12" ht="15.75" x14ac:dyDescent="0.25">
      <c r="A11" s="20" t="s">
        <v>44</v>
      </c>
      <c r="B11" s="21" t="s">
        <v>1266</v>
      </c>
      <c r="C11" s="28" t="s">
        <v>15</v>
      </c>
      <c r="D11" s="66" t="s">
        <v>1613</v>
      </c>
      <c r="E11" s="40" t="s">
        <v>45</v>
      </c>
      <c r="F11" s="22">
        <v>14000</v>
      </c>
      <c r="G11" s="22">
        <v>500000</v>
      </c>
      <c r="H11" s="23">
        <v>14000</v>
      </c>
      <c r="I11" s="22">
        <f t="shared" si="0"/>
        <v>486000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1381</v>
      </c>
      <c r="C12" s="28" t="s">
        <v>15</v>
      </c>
      <c r="D12" s="66" t="s">
        <v>18</v>
      </c>
      <c r="E12" s="40" t="s">
        <v>1348</v>
      </c>
      <c r="F12" s="22">
        <v>30000</v>
      </c>
      <c r="G12" s="22">
        <v>100000</v>
      </c>
      <c r="H12" s="23">
        <f>32000+30000</f>
        <v>62000</v>
      </c>
      <c r="I12" s="22">
        <f>G12-H12</f>
        <v>38000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1623</v>
      </c>
      <c r="C13" s="28" t="s">
        <v>287</v>
      </c>
      <c r="D13" s="29" t="s">
        <v>288</v>
      </c>
      <c r="E13" s="40" t="s">
        <v>289</v>
      </c>
      <c r="F13" s="22">
        <v>32700</v>
      </c>
      <c r="G13" s="42">
        <v>100000</v>
      </c>
      <c r="H13" s="23">
        <v>32700</v>
      </c>
      <c r="I13" s="22">
        <f>G13-H13</f>
        <v>67300</v>
      </c>
      <c r="J13" s="22" t="s">
        <v>16</v>
      </c>
      <c r="K13" s="24"/>
      <c r="L13" s="25"/>
    </row>
    <row r="14" spans="1:12" ht="15.75" x14ac:dyDescent="0.25">
      <c r="A14" s="20" t="s">
        <v>14</v>
      </c>
      <c r="B14" s="21" t="s">
        <v>1484</v>
      </c>
      <c r="C14" s="28" t="s">
        <v>34</v>
      </c>
      <c r="D14" s="66" t="s">
        <v>18</v>
      </c>
      <c r="E14" s="40" t="s">
        <v>1485</v>
      </c>
      <c r="F14" s="22">
        <v>1750</v>
      </c>
      <c r="G14" s="42">
        <v>100000</v>
      </c>
      <c r="H14" s="23">
        <f>9000+12500+12040+1750</f>
        <v>35290</v>
      </c>
      <c r="I14" s="22">
        <f t="shared" ref="I14" si="1">G14-H14</f>
        <v>64710</v>
      </c>
      <c r="J14" s="22" t="s">
        <v>16</v>
      </c>
      <c r="K14" s="24"/>
      <c r="L14" s="25"/>
    </row>
    <row r="15" spans="1:12" ht="15.75" x14ac:dyDescent="0.25">
      <c r="A15" s="20" t="s">
        <v>231</v>
      </c>
      <c r="B15" s="21" t="s">
        <v>1579</v>
      </c>
      <c r="C15" s="28" t="s">
        <v>1616</v>
      </c>
      <c r="D15" s="29" t="s">
        <v>240</v>
      </c>
      <c r="E15" s="40" t="s">
        <v>1581</v>
      </c>
      <c r="F15" s="22">
        <v>588</v>
      </c>
      <c r="G15" s="22">
        <v>30000</v>
      </c>
      <c r="H15" s="23">
        <f>2412.4+588</f>
        <v>3000.4</v>
      </c>
      <c r="I15" s="22">
        <f t="shared" ref="I15" si="2">G15-H15</f>
        <v>26999.599999999999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1610</v>
      </c>
      <c r="C16" s="28" t="s">
        <v>15</v>
      </c>
      <c r="D16" s="29" t="s">
        <v>1614</v>
      </c>
      <c r="E16" s="40" t="s">
        <v>1615</v>
      </c>
      <c r="F16" s="22">
        <v>4500</v>
      </c>
      <c r="G16" s="22">
        <v>20000</v>
      </c>
      <c r="H16" s="23">
        <f>3000+4500</f>
        <v>7500</v>
      </c>
      <c r="I16" s="22">
        <f t="shared" si="0"/>
        <v>12500</v>
      </c>
      <c r="J16" s="22" t="s">
        <v>16</v>
      </c>
      <c r="K16" s="24"/>
      <c r="L16" s="25"/>
    </row>
    <row r="17" spans="1:12" ht="16.5" thickBot="1" x14ac:dyDescent="0.3">
      <c r="A17" s="43"/>
      <c r="B17" s="44"/>
      <c r="C17" s="45"/>
      <c r="D17" s="67"/>
      <c r="E17" s="47"/>
      <c r="F17" s="48"/>
      <c r="G17" s="62"/>
      <c r="H17" s="49"/>
      <c r="I17" s="48"/>
      <c r="J17" s="48"/>
      <c r="K17" s="50"/>
      <c r="L17" s="51"/>
    </row>
    <row r="18" spans="1:12" ht="16.5" thickBot="1" x14ac:dyDescent="0.3">
      <c r="A18" s="71"/>
      <c r="B18" s="72"/>
      <c r="C18" s="73"/>
      <c r="D18" s="74"/>
      <c r="E18" s="75"/>
      <c r="F18" s="76"/>
      <c r="G18" s="76"/>
      <c r="H18" s="77"/>
      <c r="I18" s="76"/>
      <c r="J18" s="76"/>
      <c r="K18" s="78"/>
      <c r="L18" s="79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2:L20"/>
  <sheetViews>
    <sheetView workbookViewId="0">
      <pane xSplit="3" topLeftCell="D1" activePane="topRight" state="frozen"/>
      <selection pane="topRight" activeCell="D21" sqref="D2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14</v>
      </c>
      <c r="B4" s="15" t="s">
        <v>1621</v>
      </c>
      <c r="C4" s="26" t="s">
        <v>32</v>
      </c>
      <c r="D4" s="65" t="s">
        <v>18</v>
      </c>
      <c r="E4" s="39" t="s">
        <v>1622</v>
      </c>
      <c r="F4" s="16">
        <f>2400+4480</f>
        <v>6880</v>
      </c>
      <c r="G4" s="16">
        <v>10000</v>
      </c>
      <c r="H4" s="17">
        <v>2850</v>
      </c>
      <c r="I4" s="16">
        <f t="shared" ref="I4:I18" si="0">G4-H4</f>
        <v>7150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1356</v>
      </c>
      <c r="C5" s="28" t="s">
        <v>210</v>
      </c>
      <c r="D5" s="66" t="s">
        <v>1286</v>
      </c>
      <c r="E5" s="40" t="s">
        <v>212</v>
      </c>
      <c r="F5" s="22">
        <v>921.5</v>
      </c>
      <c r="G5" s="22">
        <v>6000</v>
      </c>
      <c r="H5" s="23">
        <f>2949+831+295.6+527.6+320.6+921.5</f>
        <v>5845.3</v>
      </c>
      <c r="I5" s="22">
        <f t="shared" si="0"/>
        <v>154.69999999999982</v>
      </c>
      <c r="J5" s="22" t="s">
        <v>16</v>
      </c>
      <c r="K5" s="24"/>
      <c r="L5" s="25"/>
    </row>
    <row r="6" spans="1:12" ht="15.75" x14ac:dyDescent="0.25">
      <c r="A6" s="20" t="s">
        <v>228</v>
      </c>
      <c r="B6" s="21" t="s">
        <v>1624</v>
      </c>
      <c r="C6" s="28" t="s">
        <v>15</v>
      </c>
      <c r="D6" s="29" t="s">
        <v>344</v>
      </c>
      <c r="E6" s="40" t="s">
        <v>361</v>
      </c>
      <c r="F6" s="22">
        <v>55000</v>
      </c>
      <c r="G6" s="22">
        <v>100000</v>
      </c>
      <c r="H6" s="23">
        <v>55000</v>
      </c>
      <c r="I6" s="22">
        <f t="shared" si="0"/>
        <v>45000</v>
      </c>
      <c r="J6" s="22" t="s">
        <v>16</v>
      </c>
      <c r="K6" s="24"/>
      <c r="L6" s="25"/>
    </row>
    <row r="7" spans="1:12" ht="15.75" x14ac:dyDescent="0.25">
      <c r="A7" s="20" t="s">
        <v>30</v>
      </c>
      <c r="B7" s="21" t="s">
        <v>1625</v>
      </c>
      <c r="C7" s="28" t="s">
        <v>109</v>
      </c>
      <c r="D7" s="66" t="s">
        <v>48</v>
      </c>
      <c r="E7" s="40" t="s">
        <v>49</v>
      </c>
      <c r="F7" s="22">
        <v>24000</v>
      </c>
      <c r="G7" s="22">
        <v>70000</v>
      </c>
      <c r="H7" s="23">
        <v>24000</v>
      </c>
      <c r="I7" s="22">
        <f t="shared" si="0"/>
        <v>46000</v>
      </c>
      <c r="J7" s="22" t="s">
        <v>16</v>
      </c>
      <c r="K7" s="24"/>
      <c r="L7" s="25"/>
    </row>
    <row r="8" spans="1:12" ht="15.75" x14ac:dyDescent="0.25">
      <c r="A8" s="20" t="s">
        <v>20</v>
      </c>
      <c r="B8" s="21" t="s">
        <v>1612</v>
      </c>
      <c r="C8" s="28" t="s">
        <v>95</v>
      </c>
      <c r="D8" s="66" t="s">
        <v>18</v>
      </c>
      <c r="E8" s="40" t="s">
        <v>610</v>
      </c>
      <c r="F8" s="22">
        <v>5650</v>
      </c>
      <c r="G8" s="22">
        <v>15000</v>
      </c>
      <c r="H8" s="23">
        <f>4000+10750+5650</f>
        <v>20400</v>
      </c>
      <c r="I8" s="22">
        <f t="shared" si="0"/>
        <v>-5400</v>
      </c>
      <c r="J8" s="22" t="s">
        <v>24</v>
      </c>
      <c r="K8" s="24"/>
      <c r="L8" s="25"/>
    </row>
    <row r="9" spans="1:12" ht="15.75" x14ac:dyDescent="0.25">
      <c r="A9" s="20" t="s">
        <v>30</v>
      </c>
      <c r="B9" s="21" t="s">
        <v>1545</v>
      </c>
      <c r="C9" s="28" t="s">
        <v>109</v>
      </c>
      <c r="D9" s="66" t="s">
        <v>48</v>
      </c>
      <c r="E9" s="40" t="s">
        <v>49</v>
      </c>
      <c r="F9" s="22">
        <v>51000</v>
      </c>
      <c r="G9" s="42">
        <v>270000</v>
      </c>
      <c r="H9" s="23">
        <f>44000+64000+24400+44000+51000</f>
        <v>227400</v>
      </c>
      <c r="I9" s="22">
        <f t="shared" si="0"/>
        <v>42600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1628</v>
      </c>
      <c r="C10" s="28" t="s">
        <v>204</v>
      </c>
      <c r="D10" s="66" t="s">
        <v>43</v>
      </c>
      <c r="E10" s="40" t="s">
        <v>206</v>
      </c>
      <c r="F10" s="22">
        <v>384.3</v>
      </c>
      <c r="G10" s="22">
        <v>3000</v>
      </c>
      <c r="H10" s="23">
        <v>384.3</v>
      </c>
      <c r="I10" s="22">
        <f t="shared" si="0"/>
        <v>2615.6999999999998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1434</v>
      </c>
      <c r="C11" s="28" t="s">
        <v>1629</v>
      </c>
      <c r="D11" s="29" t="s">
        <v>42</v>
      </c>
      <c r="E11" s="40" t="s">
        <v>1487</v>
      </c>
      <c r="F11" s="22">
        <v>20950</v>
      </c>
      <c r="G11" s="22">
        <v>100000</v>
      </c>
      <c r="H11" s="23">
        <v>99450</v>
      </c>
      <c r="I11" s="22">
        <f t="shared" si="0"/>
        <v>550</v>
      </c>
      <c r="J11" s="22" t="s">
        <v>31</v>
      </c>
      <c r="K11" s="24"/>
      <c r="L11" s="25"/>
    </row>
    <row r="12" spans="1:12" ht="15.75" x14ac:dyDescent="0.25">
      <c r="A12" s="20" t="s">
        <v>22</v>
      </c>
      <c r="B12" s="21" t="s">
        <v>1396</v>
      </c>
      <c r="C12" s="28" t="s">
        <v>560</v>
      </c>
      <c r="D12" s="29" t="s">
        <v>43</v>
      </c>
      <c r="E12" s="40" t="s">
        <v>38</v>
      </c>
      <c r="F12" s="22">
        <v>219.1</v>
      </c>
      <c r="G12" s="22">
        <v>500</v>
      </c>
      <c r="H12" s="23">
        <f>171.2+197.2+219.1</f>
        <v>587.5</v>
      </c>
      <c r="I12" s="22">
        <f t="shared" si="0"/>
        <v>-87.5</v>
      </c>
      <c r="J12" s="22" t="s">
        <v>24</v>
      </c>
      <c r="K12" s="24"/>
      <c r="L12" s="25"/>
    </row>
    <row r="13" spans="1:12" ht="15.75" x14ac:dyDescent="0.25">
      <c r="A13" s="20" t="s">
        <v>44</v>
      </c>
      <c r="B13" s="21" t="s">
        <v>1266</v>
      </c>
      <c r="C13" s="28" t="s">
        <v>15</v>
      </c>
      <c r="D13" s="66" t="s">
        <v>1613</v>
      </c>
      <c r="E13" s="40" t="s">
        <v>45</v>
      </c>
      <c r="F13" s="22">
        <v>32000</v>
      </c>
      <c r="G13" s="22">
        <v>500000</v>
      </c>
      <c r="H13" s="23">
        <f>14000+32000</f>
        <v>46000</v>
      </c>
      <c r="I13" s="22">
        <f t="shared" si="0"/>
        <v>454000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1381</v>
      </c>
      <c r="C14" s="28" t="s">
        <v>15</v>
      </c>
      <c r="D14" s="66" t="s">
        <v>18</v>
      </c>
      <c r="E14" s="40" t="s">
        <v>1348</v>
      </c>
      <c r="F14" s="22">
        <v>22000</v>
      </c>
      <c r="G14" s="22">
        <v>100000</v>
      </c>
      <c r="H14" s="23">
        <f>32000+30000+22000</f>
        <v>84000</v>
      </c>
      <c r="I14" s="22">
        <f>G14-H14</f>
        <v>16000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1630</v>
      </c>
      <c r="C15" s="28" t="s">
        <v>41</v>
      </c>
      <c r="D15" s="29" t="s">
        <v>1631</v>
      </c>
      <c r="E15" s="40" t="s">
        <v>819</v>
      </c>
      <c r="F15" s="22">
        <v>34000</v>
      </c>
      <c r="G15" s="42">
        <v>100000</v>
      </c>
      <c r="H15" s="23">
        <v>34000</v>
      </c>
      <c r="I15" s="22">
        <f>G15-H15</f>
        <v>66000</v>
      </c>
      <c r="J15" s="22" t="s">
        <v>16</v>
      </c>
      <c r="K15" s="24"/>
      <c r="L15" s="25"/>
    </row>
    <row r="16" spans="1:12" ht="15.75" x14ac:dyDescent="0.25">
      <c r="A16" s="20" t="s">
        <v>20</v>
      </c>
      <c r="B16" s="21" t="s">
        <v>1626</v>
      </c>
      <c r="C16" s="28" t="s">
        <v>34</v>
      </c>
      <c r="D16" s="66" t="s">
        <v>18</v>
      </c>
      <c r="E16" s="40" t="s">
        <v>1627</v>
      </c>
      <c r="F16" s="22">
        <v>10500</v>
      </c>
      <c r="G16" s="42">
        <v>100000</v>
      </c>
      <c r="H16" s="23">
        <v>10500</v>
      </c>
      <c r="I16" s="22">
        <f t="shared" ref="I16" si="1">G16-H16</f>
        <v>89500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1632</v>
      </c>
      <c r="C17" s="28" t="s">
        <v>41</v>
      </c>
      <c r="D17" s="29" t="s">
        <v>1631</v>
      </c>
      <c r="E17" s="40" t="s">
        <v>819</v>
      </c>
      <c r="F17" s="22">
        <v>9650</v>
      </c>
      <c r="G17" s="42">
        <v>10000</v>
      </c>
      <c r="H17" s="23">
        <v>9650</v>
      </c>
      <c r="I17" s="22">
        <f>G17-H17</f>
        <v>350</v>
      </c>
      <c r="J17" s="22" t="s">
        <v>31</v>
      </c>
      <c r="K17" s="24"/>
      <c r="L17" s="25"/>
    </row>
    <row r="18" spans="1:12" ht="15.75" x14ac:dyDescent="0.25">
      <c r="A18" s="20" t="s">
        <v>14</v>
      </c>
      <c r="B18" s="21" t="s">
        <v>1610</v>
      </c>
      <c r="C18" s="28" t="s">
        <v>15</v>
      </c>
      <c r="D18" s="29" t="s">
        <v>1614</v>
      </c>
      <c r="E18" s="40" t="s">
        <v>1615</v>
      </c>
      <c r="F18" s="22">
        <f>3500+2500</f>
        <v>6000</v>
      </c>
      <c r="G18" s="22">
        <v>20000</v>
      </c>
      <c r="H18" s="23">
        <f>3000+4500+6000</f>
        <v>13500</v>
      </c>
      <c r="I18" s="22">
        <f t="shared" si="0"/>
        <v>6500</v>
      </c>
      <c r="J18" s="22" t="s">
        <v>16</v>
      </c>
      <c r="K18" s="24"/>
      <c r="L18" s="25"/>
    </row>
    <row r="19" spans="1:12" ht="16.5" thickBot="1" x14ac:dyDescent="0.3">
      <c r="A19" s="43"/>
      <c r="B19" s="44"/>
      <c r="C19" s="45"/>
      <c r="D19" s="67"/>
      <c r="E19" s="47"/>
      <c r="F19" s="48"/>
      <c r="G19" s="62"/>
      <c r="H19" s="49"/>
      <c r="I19" s="48"/>
      <c r="J19" s="48"/>
      <c r="K19" s="50"/>
      <c r="L19" s="51"/>
    </row>
    <row r="20" spans="1:12" ht="16.5" thickBot="1" x14ac:dyDescent="0.3">
      <c r="A20" s="71"/>
      <c r="B20" s="72"/>
      <c r="C20" s="73"/>
      <c r="D20" s="74"/>
      <c r="E20" s="75"/>
      <c r="F20" s="76"/>
      <c r="G20" s="76"/>
      <c r="H20" s="77"/>
      <c r="I20" s="76"/>
      <c r="J20" s="76"/>
      <c r="K20" s="78"/>
      <c r="L20" s="79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2:L22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1633</v>
      </c>
      <c r="C4" s="26" t="s">
        <v>85</v>
      </c>
      <c r="D4" s="65" t="s">
        <v>92</v>
      </c>
      <c r="E4" s="39" t="s">
        <v>38</v>
      </c>
      <c r="F4" s="16">
        <v>288.60000000000002</v>
      </c>
      <c r="G4" s="16">
        <v>1000</v>
      </c>
      <c r="H4" s="17">
        <v>2850</v>
      </c>
      <c r="I4" s="16">
        <v>288.60000000000002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1634</v>
      </c>
      <c r="C5" s="28" t="s">
        <v>85</v>
      </c>
      <c r="D5" s="66" t="s">
        <v>89</v>
      </c>
      <c r="E5" s="40" t="s">
        <v>38</v>
      </c>
      <c r="F5" s="22">
        <v>339.9</v>
      </c>
      <c r="G5" s="22">
        <v>1000</v>
      </c>
      <c r="H5" s="23">
        <v>339.9</v>
      </c>
      <c r="I5" s="22">
        <f t="shared" ref="I5:I20" si="0">G5-H5</f>
        <v>660.1</v>
      </c>
      <c r="J5" s="22" t="s">
        <v>16</v>
      </c>
      <c r="K5" s="24"/>
      <c r="L5" s="25"/>
    </row>
    <row r="6" spans="1:12" ht="15.75" x14ac:dyDescent="0.25">
      <c r="A6" s="20" t="s">
        <v>228</v>
      </c>
      <c r="B6" s="21" t="s">
        <v>1624</v>
      </c>
      <c r="C6" s="28" t="s">
        <v>15</v>
      </c>
      <c r="D6" s="29" t="s">
        <v>344</v>
      </c>
      <c r="E6" s="40" t="s">
        <v>361</v>
      </c>
      <c r="F6" s="22">
        <v>47900</v>
      </c>
      <c r="G6" s="22">
        <v>100000</v>
      </c>
      <c r="H6" s="23">
        <f>55000+47.9</f>
        <v>55047.9</v>
      </c>
      <c r="I6" s="22">
        <f t="shared" si="0"/>
        <v>44952.1</v>
      </c>
      <c r="J6" s="22" t="s">
        <v>16</v>
      </c>
      <c r="K6" s="24"/>
      <c r="L6" s="25"/>
    </row>
    <row r="7" spans="1:12" ht="15.75" x14ac:dyDescent="0.25">
      <c r="A7" s="20" t="s">
        <v>30</v>
      </c>
      <c r="B7" s="21" t="s">
        <v>1625</v>
      </c>
      <c r="C7" s="28" t="s">
        <v>109</v>
      </c>
      <c r="D7" s="66" t="s">
        <v>48</v>
      </c>
      <c r="E7" s="40" t="s">
        <v>49</v>
      </c>
      <c r="F7" s="22">
        <v>40000</v>
      </c>
      <c r="G7" s="22">
        <v>70000</v>
      </c>
      <c r="H7" s="23">
        <f>24000+40000</f>
        <v>64000</v>
      </c>
      <c r="I7" s="22">
        <f t="shared" si="0"/>
        <v>6000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1381</v>
      </c>
      <c r="C8" s="28" t="s">
        <v>15</v>
      </c>
      <c r="D8" s="66" t="s">
        <v>1099</v>
      </c>
      <c r="E8" s="40" t="s">
        <v>940</v>
      </c>
      <c r="F8" s="22">
        <v>100000</v>
      </c>
      <c r="G8" s="22">
        <v>1000000</v>
      </c>
      <c r="H8" s="23">
        <v>100000</v>
      </c>
      <c r="I8" s="22">
        <f t="shared" si="0"/>
        <v>900000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1517</v>
      </c>
      <c r="C9" s="28" t="s">
        <v>214</v>
      </c>
      <c r="D9" s="66" t="s">
        <v>1636</v>
      </c>
      <c r="E9" s="40" t="s">
        <v>216</v>
      </c>
      <c r="F9" s="22">
        <v>4500</v>
      </c>
      <c r="G9" s="22">
        <v>30000</v>
      </c>
      <c r="H9" s="23">
        <v>4500</v>
      </c>
      <c r="I9" s="22">
        <f>G9-H9</f>
        <v>25500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1637</v>
      </c>
      <c r="C10" s="28" t="s">
        <v>1638</v>
      </c>
      <c r="D10" s="66" t="s">
        <v>18</v>
      </c>
      <c r="E10" s="40" t="s">
        <v>285</v>
      </c>
      <c r="F10" s="22">
        <v>10270</v>
      </c>
      <c r="G10" s="22">
        <v>10000</v>
      </c>
      <c r="H10" s="23">
        <v>10270</v>
      </c>
      <c r="I10" s="22">
        <f>G10-H10</f>
        <v>-270</v>
      </c>
      <c r="J10" s="22" t="s">
        <v>24</v>
      </c>
      <c r="K10" s="24"/>
      <c r="L10" s="25"/>
    </row>
    <row r="11" spans="1:12" ht="15.75" x14ac:dyDescent="0.25">
      <c r="A11" s="20" t="s">
        <v>22</v>
      </c>
      <c r="B11" s="21" t="s">
        <v>1639</v>
      </c>
      <c r="C11" s="28" t="s">
        <v>1477</v>
      </c>
      <c r="D11" s="66" t="s">
        <v>1640</v>
      </c>
      <c r="E11" s="40" t="s">
        <v>1448</v>
      </c>
      <c r="F11" s="22">
        <v>21.8</v>
      </c>
      <c r="G11" s="42">
        <v>500</v>
      </c>
      <c r="H11" s="23">
        <v>21.8</v>
      </c>
      <c r="I11" s="22">
        <f t="shared" si="0"/>
        <v>478.2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1628</v>
      </c>
      <c r="C12" s="28" t="s">
        <v>204</v>
      </c>
      <c r="D12" s="66" t="s">
        <v>43</v>
      </c>
      <c r="E12" s="40" t="s">
        <v>206</v>
      </c>
      <c r="F12" s="22">
        <v>470.4</v>
      </c>
      <c r="G12" s="22">
        <v>3000</v>
      </c>
      <c r="H12" s="23">
        <f>384.3+470.4</f>
        <v>854.7</v>
      </c>
      <c r="I12" s="22">
        <f t="shared" si="0"/>
        <v>2145.3000000000002</v>
      </c>
      <c r="J12" s="22" t="s">
        <v>16</v>
      </c>
      <c r="K12" s="24"/>
      <c r="L12" s="25"/>
    </row>
    <row r="13" spans="1:12" ht="15.75" x14ac:dyDescent="0.25">
      <c r="A13" s="20" t="s">
        <v>963</v>
      </c>
      <c r="B13" s="21" t="s">
        <v>1489</v>
      </c>
      <c r="C13" s="28" t="s">
        <v>15</v>
      </c>
      <c r="D13" s="29" t="s">
        <v>1635</v>
      </c>
      <c r="E13" s="40" t="s">
        <v>966</v>
      </c>
      <c r="F13" s="22">
        <v>38</v>
      </c>
      <c r="G13" s="22">
        <v>1000</v>
      </c>
      <c r="H13" s="23">
        <v>592</v>
      </c>
      <c r="I13" s="22">
        <f t="shared" si="0"/>
        <v>408</v>
      </c>
      <c r="J13" s="22" t="s">
        <v>16</v>
      </c>
      <c r="K13" s="24"/>
      <c r="L13" s="25"/>
    </row>
    <row r="14" spans="1:12" ht="15.75" x14ac:dyDescent="0.25">
      <c r="A14" s="20" t="s">
        <v>231</v>
      </c>
      <c r="B14" s="21" t="s">
        <v>1579</v>
      </c>
      <c r="C14" s="28" t="s">
        <v>1616</v>
      </c>
      <c r="D14" s="29" t="s">
        <v>240</v>
      </c>
      <c r="E14" s="40" t="s">
        <v>1581</v>
      </c>
      <c r="F14" s="22">
        <v>676.3</v>
      </c>
      <c r="G14" s="22">
        <v>30000</v>
      </c>
      <c r="H14" s="23">
        <f>2412.4+588+676.3</f>
        <v>3676.7</v>
      </c>
      <c r="I14" s="22">
        <f t="shared" si="0"/>
        <v>26323.3</v>
      </c>
      <c r="J14" s="22" t="s">
        <v>16</v>
      </c>
      <c r="K14" s="24"/>
      <c r="L14" s="25"/>
    </row>
    <row r="15" spans="1:12" ht="15.75" x14ac:dyDescent="0.25">
      <c r="A15" s="20" t="s">
        <v>44</v>
      </c>
      <c r="B15" s="21" t="s">
        <v>1266</v>
      </c>
      <c r="C15" s="28" t="s">
        <v>15</v>
      </c>
      <c r="D15" s="66" t="s">
        <v>1613</v>
      </c>
      <c r="E15" s="40" t="s">
        <v>45</v>
      </c>
      <c r="F15" s="22">
        <v>42000</v>
      </c>
      <c r="G15" s="22">
        <v>500000</v>
      </c>
      <c r="H15" s="23">
        <f>14000+32000+42000</f>
        <v>88000</v>
      </c>
      <c r="I15" s="22">
        <f t="shared" si="0"/>
        <v>412000</v>
      </c>
      <c r="J15" s="22" t="s">
        <v>16</v>
      </c>
      <c r="K15" s="24"/>
      <c r="L15" s="25"/>
    </row>
    <row r="16" spans="1:12" ht="15.75" x14ac:dyDescent="0.25">
      <c r="A16" s="20" t="s">
        <v>40</v>
      </c>
      <c r="B16" s="21" t="s">
        <v>1456</v>
      </c>
      <c r="C16" s="28" t="s">
        <v>1586</v>
      </c>
      <c r="D16" s="66" t="s">
        <v>54</v>
      </c>
      <c r="E16" s="40" t="s">
        <v>59</v>
      </c>
      <c r="F16" s="22">
        <v>13000</v>
      </c>
      <c r="G16" s="22">
        <v>300000</v>
      </c>
      <c r="H16" s="23">
        <f>42000+3000+13000</f>
        <v>58000</v>
      </c>
      <c r="I16" s="22">
        <f t="shared" si="0"/>
        <v>242000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1630</v>
      </c>
      <c r="C17" s="28" t="s">
        <v>41</v>
      </c>
      <c r="D17" s="29" t="s">
        <v>1631</v>
      </c>
      <c r="E17" s="40" t="s">
        <v>819</v>
      </c>
      <c r="F17" s="22">
        <v>42000</v>
      </c>
      <c r="G17" s="42">
        <v>100000</v>
      </c>
      <c r="H17" s="23">
        <f>34000+42000</f>
        <v>76000</v>
      </c>
      <c r="I17" s="22">
        <f>G17-H17</f>
        <v>24000</v>
      </c>
      <c r="J17" s="22" t="s">
        <v>16</v>
      </c>
      <c r="K17" s="24"/>
      <c r="L17" s="25"/>
    </row>
    <row r="18" spans="1:12" ht="15.75" x14ac:dyDescent="0.25">
      <c r="A18" s="20" t="s">
        <v>20</v>
      </c>
      <c r="B18" s="21" t="s">
        <v>1626</v>
      </c>
      <c r="C18" s="28" t="s">
        <v>34</v>
      </c>
      <c r="D18" s="66" t="s">
        <v>18</v>
      </c>
      <c r="E18" s="40" t="s">
        <v>1627</v>
      </c>
      <c r="F18" s="22">
        <f>7580+1250</f>
        <v>8830</v>
      </c>
      <c r="G18" s="42">
        <v>100000</v>
      </c>
      <c r="H18" s="23">
        <f>10500+8830</f>
        <v>19330</v>
      </c>
      <c r="I18" s="22">
        <f t="shared" ref="I18:I19" si="1">G18-H18</f>
        <v>80670</v>
      </c>
      <c r="J18" s="22" t="s">
        <v>16</v>
      </c>
      <c r="K18" s="24"/>
      <c r="L18" s="25"/>
    </row>
    <row r="19" spans="1:12" ht="15.75" x14ac:dyDescent="0.25">
      <c r="A19" s="20" t="s">
        <v>19</v>
      </c>
      <c r="B19" s="21" t="s">
        <v>1604</v>
      </c>
      <c r="C19" s="28" t="s">
        <v>1605</v>
      </c>
      <c r="D19" s="66" t="s">
        <v>1574</v>
      </c>
      <c r="E19" s="40" t="s">
        <v>1606</v>
      </c>
      <c r="F19" s="22">
        <v>30400</v>
      </c>
      <c r="G19" s="22">
        <v>100000</v>
      </c>
      <c r="H19" s="23">
        <f>15000+24000+30000+30400</f>
        <v>99400</v>
      </c>
      <c r="I19" s="22">
        <f t="shared" si="1"/>
        <v>600</v>
      </c>
      <c r="J19" s="22" t="s">
        <v>16</v>
      </c>
      <c r="K19" s="24"/>
      <c r="L19" s="25"/>
    </row>
    <row r="20" spans="1:12" ht="15.75" x14ac:dyDescent="0.25">
      <c r="A20" s="20" t="s">
        <v>14</v>
      </c>
      <c r="B20" s="21" t="s">
        <v>1610</v>
      </c>
      <c r="C20" s="28" t="s">
        <v>15</v>
      </c>
      <c r="D20" s="29" t="s">
        <v>1614</v>
      </c>
      <c r="E20" s="40" t="s">
        <v>1615</v>
      </c>
      <c r="F20" s="22">
        <v>4500</v>
      </c>
      <c r="G20" s="22">
        <v>20000</v>
      </c>
      <c r="H20" s="23">
        <f>3000+4500+6000+4500</f>
        <v>18000</v>
      </c>
      <c r="I20" s="22">
        <f t="shared" si="0"/>
        <v>2000</v>
      </c>
      <c r="J20" s="22" t="s">
        <v>16</v>
      </c>
      <c r="K20" s="24"/>
      <c r="L20" s="25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2:L24"/>
  <sheetViews>
    <sheetView workbookViewId="0">
      <pane xSplit="3" topLeftCell="D1" activePane="topRight" state="frozen"/>
      <selection pane="topRight" activeCell="C31" sqref="C3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1633</v>
      </c>
      <c r="C4" s="26" t="s">
        <v>85</v>
      </c>
      <c r="D4" s="65" t="s">
        <v>92</v>
      </c>
      <c r="E4" s="39" t="s">
        <v>38</v>
      </c>
      <c r="F4" s="16">
        <v>113.8</v>
      </c>
      <c r="G4" s="16">
        <v>1000</v>
      </c>
      <c r="H4" s="17">
        <f>2850+113.8</f>
        <v>2963.8</v>
      </c>
      <c r="I4" s="16">
        <v>288.60000000000002</v>
      </c>
      <c r="J4" s="16" t="s">
        <v>16</v>
      </c>
      <c r="K4" s="18"/>
      <c r="L4" s="19"/>
    </row>
    <row r="5" spans="1:12" ht="15.75" x14ac:dyDescent="0.25">
      <c r="A5" s="20" t="s">
        <v>22</v>
      </c>
      <c r="B5" s="21" t="s">
        <v>1641</v>
      </c>
      <c r="C5" s="28" t="s">
        <v>1469</v>
      </c>
      <c r="D5" s="66" t="s">
        <v>43</v>
      </c>
      <c r="E5" s="40" t="s">
        <v>351</v>
      </c>
      <c r="F5" s="22">
        <v>489.6</v>
      </c>
      <c r="G5" s="22">
        <v>500</v>
      </c>
      <c r="H5" s="23">
        <v>489.6</v>
      </c>
      <c r="I5" s="22">
        <f t="shared" ref="I5:I22" si="0">G5-H5</f>
        <v>10.399999999999977</v>
      </c>
      <c r="J5" s="22" t="s">
        <v>31</v>
      </c>
      <c r="K5" s="24"/>
      <c r="L5" s="25"/>
    </row>
    <row r="6" spans="1:12" ht="15.75" x14ac:dyDescent="0.25">
      <c r="A6" s="20" t="s">
        <v>19</v>
      </c>
      <c r="B6" s="21" t="s">
        <v>1644</v>
      </c>
      <c r="C6" s="28" t="s">
        <v>1227</v>
      </c>
      <c r="D6" s="29" t="s">
        <v>18</v>
      </c>
      <c r="E6" s="40" t="s">
        <v>1376</v>
      </c>
      <c r="F6" s="22">
        <f>2000+3000</f>
        <v>5000</v>
      </c>
      <c r="G6" s="22">
        <v>12000</v>
      </c>
      <c r="H6" s="23">
        <v>5000</v>
      </c>
      <c r="I6" s="22">
        <f t="shared" si="0"/>
        <v>7000</v>
      </c>
      <c r="J6" s="22" t="s">
        <v>16</v>
      </c>
      <c r="K6" s="24"/>
      <c r="L6" s="25"/>
    </row>
    <row r="7" spans="1:12" ht="15.75" x14ac:dyDescent="0.25">
      <c r="A7" s="20" t="s">
        <v>30</v>
      </c>
      <c r="B7" s="21" t="s">
        <v>1545</v>
      </c>
      <c r="C7" s="28" t="s">
        <v>109</v>
      </c>
      <c r="D7" s="66" t="s">
        <v>48</v>
      </c>
      <c r="E7" s="40" t="s">
        <v>49</v>
      </c>
      <c r="F7" s="22">
        <v>6000</v>
      </c>
      <c r="G7" s="42">
        <v>270000</v>
      </c>
      <c r="H7" s="23">
        <f>44000+64000+24400+44000+6000</f>
        <v>182400</v>
      </c>
      <c r="I7" s="22">
        <f t="shared" si="0"/>
        <v>87600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1645</v>
      </c>
      <c r="C8" s="28" t="s">
        <v>1646</v>
      </c>
      <c r="D8" s="66" t="s">
        <v>18</v>
      </c>
      <c r="E8" s="40" t="s">
        <v>49</v>
      </c>
      <c r="F8" s="22">
        <v>2000</v>
      </c>
      <c r="G8" s="22">
        <v>8000</v>
      </c>
      <c r="H8" s="23">
        <v>2000</v>
      </c>
      <c r="I8" s="22">
        <f t="shared" si="0"/>
        <v>6000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1381</v>
      </c>
      <c r="C9" s="28" t="s">
        <v>15</v>
      </c>
      <c r="D9" s="66" t="s">
        <v>1099</v>
      </c>
      <c r="E9" s="40" t="s">
        <v>940</v>
      </c>
      <c r="F9" s="22">
        <v>200000</v>
      </c>
      <c r="G9" s="22">
        <v>1000000</v>
      </c>
      <c r="H9" s="23">
        <f>100000+200000</f>
        <v>300000</v>
      </c>
      <c r="I9" s="22">
        <f t="shared" si="0"/>
        <v>700000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1517</v>
      </c>
      <c r="C10" s="28" t="s">
        <v>214</v>
      </c>
      <c r="D10" s="66" t="s">
        <v>1636</v>
      </c>
      <c r="E10" s="40" t="s">
        <v>216</v>
      </c>
      <c r="F10" s="22">
        <f>5000+7500</f>
        <v>12500</v>
      </c>
      <c r="G10" s="22">
        <v>30000</v>
      </c>
      <c r="H10" s="23">
        <f>4500+12500</f>
        <v>17000</v>
      </c>
      <c r="I10" s="22">
        <f>G10-H10</f>
        <v>13000</v>
      </c>
      <c r="J10" s="22" t="s">
        <v>16</v>
      </c>
      <c r="K10" s="24"/>
      <c r="L10" s="25"/>
    </row>
    <row r="11" spans="1:12" ht="15.75" x14ac:dyDescent="0.25">
      <c r="A11" s="20" t="s">
        <v>346</v>
      </c>
      <c r="B11" s="21" t="s">
        <v>1516</v>
      </c>
      <c r="C11" s="28" t="s">
        <v>1474</v>
      </c>
      <c r="D11" s="66" t="s">
        <v>1647</v>
      </c>
      <c r="E11" s="40" t="s">
        <v>104</v>
      </c>
      <c r="F11" s="22">
        <v>316.5</v>
      </c>
      <c r="G11" s="22">
        <v>420</v>
      </c>
      <c r="H11" s="23">
        <v>316.5</v>
      </c>
      <c r="I11" s="22">
        <f>G11-H11</f>
        <v>103.5</v>
      </c>
      <c r="J11" s="22" t="s">
        <v>16</v>
      </c>
      <c r="K11" s="24"/>
      <c r="L11" s="25"/>
    </row>
    <row r="12" spans="1:12" ht="15.75" x14ac:dyDescent="0.25">
      <c r="A12" s="20" t="s">
        <v>244</v>
      </c>
      <c r="B12" s="21" t="s">
        <v>1371</v>
      </c>
      <c r="C12" s="28" t="s">
        <v>296</v>
      </c>
      <c r="D12" s="66" t="s">
        <v>35</v>
      </c>
      <c r="E12" s="40" t="s">
        <v>297</v>
      </c>
      <c r="F12" s="22">
        <v>1048.1500000000001</v>
      </c>
      <c r="G12" s="22">
        <v>1040</v>
      </c>
      <c r="H12" s="23">
        <v>1048.1500000000001</v>
      </c>
      <c r="I12" s="22">
        <f>G12-H12</f>
        <v>-8.1500000000000909</v>
      </c>
      <c r="J12" s="22" t="s">
        <v>24</v>
      </c>
      <c r="K12" s="24"/>
      <c r="L12" s="25"/>
    </row>
    <row r="13" spans="1:12" ht="15.75" x14ac:dyDescent="0.25">
      <c r="A13" s="20" t="s">
        <v>20</v>
      </c>
      <c r="B13" s="21" t="s">
        <v>1648</v>
      </c>
      <c r="C13" s="28" t="s">
        <v>795</v>
      </c>
      <c r="D13" s="66" t="s">
        <v>18</v>
      </c>
      <c r="E13" s="40" t="s">
        <v>796</v>
      </c>
      <c r="F13" s="22">
        <v>400</v>
      </c>
      <c r="G13" s="42">
        <v>3000</v>
      </c>
      <c r="H13" s="23">
        <v>400</v>
      </c>
      <c r="I13" s="22">
        <f t="shared" si="0"/>
        <v>2600</v>
      </c>
      <c r="J13" s="22" t="s">
        <v>16</v>
      </c>
      <c r="K13" s="24"/>
      <c r="L13" s="25"/>
    </row>
    <row r="14" spans="1:12" ht="15.75" x14ac:dyDescent="0.25">
      <c r="A14" s="20" t="s">
        <v>44</v>
      </c>
      <c r="B14" s="21" t="s">
        <v>1381</v>
      </c>
      <c r="C14" s="28" t="s">
        <v>15</v>
      </c>
      <c r="D14" s="29" t="s">
        <v>1613</v>
      </c>
      <c r="E14" s="40" t="s">
        <v>207</v>
      </c>
      <c r="F14" s="22">
        <v>18000</v>
      </c>
      <c r="G14" s="22">
        <v>100000</v>
      </c>
      <c r="H14" s="23">
        <f>58400+6550+18000</f>
        <v>82950</v>
      </c>
      <c r="I14" s="22">
        <f t="shared" si="0"/>
        <v>17050</v>
      </c>
      <c r="J14" s="22" t="s">
        <v>16</v>
      </c>
      <c r="K14" s="24"/>
      <c r="L14" s="25"/>
    </row>
    <row r="15" spans="1:12" ht="15.75" x14ac:dyDescent="0.25">
      <c r="A15" s="20" t="s">
        <v>963</v>
      </c>
      <c r="B15" s="21" t="s">
        <v>1489</v>
      </c>
      <c r="C15" s="28" t="s">
        <v>15</v>
      </c>
      <c r="D15" s="29" t="s">
        <v>1635</v>
      </c>
      <c r="E15" s="40" t="s">
        <v>966</v>
      </c>
      <c r="F15" s="22">
        <v>38</v>
      </c>
      <c r="G15" s="22">
        <v>1000</v>
      </c>
      <c r="H15" s="23">
        <v>592</v>
      </c>
      <c r="I15" s="22">
        <f t="shared" si="0"/>
        <v>408</v>
      </c>
      <c r="J15" s="22" t="s">
        <v>16</v>
      </c>
      <c r="K15" s="24"/>
      <c r="L15" s="25"/>
    </row>
    <row r="16" spans="1:12" ht="15.75" x14ac:dyDescent="0.25">
      <c r="A16" s="20" t="s">
        <v>231</v>
      </c>
      <c r="B16" s="21" t="s">
        <v>1579</v>
      </c>
      <c r="C16" s="28" t="s">
        <v>1616</v>
      </c>
      <c r="D16" s="29" t="s">
        <v>240</v>
      </c>
      <c r="E16" s="40" t="s">
        <v>1581</v>
      </c>
      <c r="F16" s="22">
        <v>483.45</v>
      </c>
      <c r="G16" s="22">
        <v>30000</v>
      </c>
      <c r="H16" s="23">
        <f>2412.4+588+676.3+483.45</f>
        <v>4160.1499999999996</v>
      </c>
      <c r="I16" s="22">
        <f t="shared" si="0"/>
        <v>25839.85</v>
      </c>
      <c r="J16" s="22" t="s">
        <v>16</v>
      </c>
      <c r="K16" s="24"/>
      <c r="L16" s="25"/>
    </row>
    <row r="17" spans="1:12" ht="15.75" x14ac:dyDescent="0.25">
      <c r="A17" s="20" t="s">
        <v>44</v>
      </c>
      <c r="B17" s="21" t="s">
        <v>1266</v>
      </c>
      <c r="C17" s="28" t="s">
        <v>15</v>
      </c>
      <c r="D17" s="66" t="s">
        <v>1613</v>
      </c>
      <c r="E17" s="40" t="s">
        <v>45</v>
      </c>
      <c r="F17" s="22">
        <v>21500</v>
      </c>
      <c r="G17" s="22">
        <v>500000</v>
      </c>
      <c r="H17" s="23">
        <f>14000+32000+42000+21500</f>
        <v>109500</v>
      </c>
      <c r="I17" s="22">
        <f t="shared" si="0"/>
        <v>390500</v>
      </c>
      <c r="J17" s="22" t="s">
        <v>16</v>
      </c>
      <c r="K17" s="24"/>
      <c r="L17" s="25"/>
    </row>
    <row r="18" spans="1:12" ht="15.75" x14ac:dyDescent="0.25">
      <c r="A18" s="20" t="s">
        <v>40</v>
      </c>
      <c r="B18" s="21" t="s">
        <v>1456</v>
      </c>
      <c r="C18" s="28" t="s">
        <v>1586</v>
      </c>
      <c r="D18" s="66" t="s">
        <v>54</v>
      </c>
      <c r="E18" s="40" t="s">
        <v>59</v>
      </c>
      <c r="F18" s="22">
        <v>31000</v>
      </c>
      <c r="G18" s="22">
        <v>300000</v>
      </c>
      <c r="H18" s="23">
        <f>42000+3000+13000+31000</f>
        <v>89000</v>
      </c>
      <c r="I18" s="22">
        <f t="shared" si="0"/>
        <v>211000</v>
      </c>
      <c r="J18" s="22" t="s">
        <v>16</v>
      </c>
      <c r="K18" s="24"/>
      <c r="L18" s="25"/>
    </row>
    <row r="19" spans="1:12" ht="15.75" x14ac:dyDescent="0.25">
      <c r="A19" s="20" t="s">
        <v>228</v>
      </c>
      <c r="B19" s="21" t="s">
        <v>1630</v>
      </c>
      <c r="C19" s="28" t="s">
        <v>41</v>
      </c>
      <c r="D19" s="29" t="s">
        <v>1631</v>
      </c>
      <c r="E19" s="40" t="s">
        <v>819</v>
      </c>
      <c r="F19" s="22">
        <v>13880</v>
      </c>
      <c r="G19" s="42">
        <v>100000</v>
      </c>
      <c r="H19" s="23">
        <f>34000+42000+13880</f>
        <v>89880</v>
      </c>
      <c r="I19" s="22">
        <f>G19-H19</f>
        <v>10120</v>
      </c>
      <c r="J19" s="22" t="s">
        <v>16</v>
      </c>
      <c r="K19" s="24"/>
      <c r="L19" s="25"/>
    </row>
    <row r="20" spans="1:12" ht="15.75" x14ac:dyDescent="0.25">
      <c r="A20" s="20" t="s">
        <v>20</v>
      </c>
      <c r="B20" s="21" t="s">
        <v>1642</v>
      </c>
      <c r="C20" s="28" t="s">
        <v>34</v>
      </c>
      <c r="D20" s="66" t="s">
        <v>18</v>
      </c>
      <c r="E20" s="40" t="s">
        <v>127</v>
      </c>
      <c r="F20" s="22">
        <v>6750</v>
      </c>
      <c r="G20" s="42">
        <v>75000</v>
      </c>
      <c r="H20" s="23">
        <v>6750</v>
      </c>
      <c r="I20" s="22">
        <f t="shared" ref="I20:I21" si="1">G20-H20</f>
        <v>68250</v>
      </c>
      <c r="J20" s="22" t="s">
        <v>16</v>
      </c>
      <c r="K20" s="24"/>
      <c r="L20" s="25"/>
    </row>
    <row r="21" spans="1:12" ht="15.75" x14ac:dyDescent="0.25">
      <c r="A21" s="20" t="s">
        <v>21</v>
      </c>
      <c r="B21" s="21" t="s">
        <v>1643</v>
      </c>
      <c r="C21" s="28" t="s">
        <v>34</v>
      </c>
      <c r="D21" s="66" t="s">
        <v>18</v>
      </c>
      <c r="E21" s="40" t="s">
        <v>101</v>
      </c>
      <c r="F21" s="22">
        <v>84000</v>
      </c>
      <c r="G21" s="22">
        <v>111600</v>
      </c>
      <c r="H21" s="23">
        <v>84000</v>
      </c>
      <c r="I21" s="22">
        <f t="shared" si="1"/>
        <v>27600</v>
      </c>
      <c r="J21" s="22" t="s">
        <v>16</v>
      </c>
      <c r="K21" s="24"/>
      <c r="L21" s="25"/>
    </row>
    <row r="22" spans="1:12" ht="15.75" x14ac:dyDescent="0.25">
      <c r="A22" s="20" t="s">
        <v>14</v>
      </c>
      <c r="B22" s="21" t="s">
        <v>1610</v>
      </c>
      <c r="C22" s="28" t="s">
        <v>15</v>
      </c>
      <c r="D22" s="29" t="s">
        <v>1614</v>
      </c>
      <c r="E22" s="40" t="s">
        <v>1615</v>
      </c>
      <c r="F22" s="22">
        <v>1960</v>
      </c>
      <c r="G22" s="22">
        <v>20000</v>
      </c>
      <c r="H22" s="23">
        <f>3000+4500+6000+4500+1960</f>
        <v>19960</v>
      </c>
      <c r="I22" s="22">
        <f t="shared" si="0"/>
        <v>40</v>
      </c>
      <c r="J22" s="22" t="s">
        <v>16</v>
      </c>
      <c r="K22" s="24"/>
      <c r="L22" s="25"/>
    </row>
    <row r="23" spans="1:12" ht="16.5" thickBot="1" x14ac:dyDescent="0.3">
      <c r="A23" s="43"/>
      <c r="B23" s="44"/>
      <c r="C23" s="45"/>
      <c r="D23" s="67"/>
      <c r="E23" s="47"/>
      <c r="F23" s="48"/>
      <c r="G23" s="62"/>
      <c r="H23" s="49"/>
      <c r="I23" s="48"/>
      <c r="J23" s="48"/>
      <c r="K23" s="50"/>
      <c r="L23" s="51"/>
    </row>
    <row r="24" spans="1:12" ht="16.5" thickBot="1" x14ac:dyDescent="0.3">
      <c r="A24" s="71"/>
      <c r="B24" s="72"/>
      <c r="C24" s="73"/>
      <c r="D24" s="74"/>
      <c r="E24" s="75"/>
      <c r="F24" s="76"/>
      <c r="G24" s="76"/>
      <c r="H24" s="77"/>
      <c r="I24" s="76"/>
      <c r="J24" s="76"/>
      <c r="K24" s="78"/>
      <c r="L24" s="79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Y90"/>
  <sheetViews>
    <sheetView topLeftCell="I24" workbookViewId="0">
      <selection activeCell="I24" sqref="A1:XFD1048576"/>
    </sheetView>
  </sheetViews>
  <sheetFormatPr defaultRowHeight="15" x14ac:dyDescent="0.25"/>
  <sheetData>
    <row r="1" spans="1:25" x14ac:dyDescent="0.25">
      <c r="A1">
        <v>16.600000000000001</v>
      </c>
      <c r="B1">
        <v>15.7</v>
      </c>
      <c r="C1">
        <v>15.3</v>
      </c>
      <c r="D1">
        <v>15.9</v>
      </c>
      <c r="E1">
        <v>16.8</v>
      </c>
      <c r="F1">
        <v>15.9</v>
      </c>
      <c r="G1">
        <v>15.5</v>
      </c>
      <c r="H1">
        <v>15.45</v>
      </c>
      <c r="I1">
        <v>16.2</v>
      </c>
      <c r="J1">
        <v>14.7</v>
      </c>
      <c r="K1">
        <v>16.8</v>
      </c>
      <c r="L1">
        <v>15.6</v>
      </c>
      <c r="M1">
        <v>17.600000000000001</v>
      </c>
      <c r="N1">
        <v>15.2</v>
      </c>
      <c r="O1">
        <v>16</v>
      </c>
      <c r="P1">
        <v>15.7</v>
      </c>
      <c r="Q1">
        <v>14.6</v>
      </c>
      <c r="R1">
        <v>15.95</v>
      </c>
      <c r="S1">
        <v>14.75</v>
      </c>
      <c r="T1">
        <v>17.14</v>
      </c>
      <c r="U1">
        <v>16.100000000000001</v>
      </c>
      <c r="V1">
        <v>15.1</v>
      </c>
      <c r="W1">
        <v>15.1</v>
      </c>
      <c r="X1">
        <v>17.600000000000001</v>
      </c>
      <c r="Y1">
        <v>15.3</v>
      </c>
    </row>
    <row r="2" spans="1:25" x14ac:dyDescent="0.25">
      <c r="A2">
        <v>16.2</v>
      </c>
      <c r="B2">
        <v>15.7</v>
      </c>
      <c r="C2">
        <v>16.3</v>
      </c>
      <c r="D2">
        <v>16.3</v>
      </c>
      <c r="E2">
        <v>16.600000000000001</v>
      </c>
      <c r="F2">
        <v>16.899999999999999</v>
      </c>
      <c r="G2">
        <v>15.2</v>
      </c>
      <c r="H2">
        <v>16.45</v>
      </c>
      <c r="I2">
        <v>16.5</v>
      </c>
      <c r="J2">
        <v>13.7</v>
      </c>
      <c r="K2">
        <v>15</v>
      </c>
      <c r="L2">
        <v>15.9</v>
      </c>
      <c r="M2">
        <v>17</v>
      </c>
      <c r="N2">
        <v>15.3</v>
      </c>
      <c r="O2">
        <v>16.100000000000001</v>
      </c>
      <c r="P2">
        <v>15.5</v>
      </c>
      <c r="Q2">
        <v>16.2</v>
      </c>
      <c r="R2">
        <v>13.7</v>
      </c>
      <c r="S2">
        <v>15.5</v>
      </c>
      <c r="T2">
        <v>14.96</v>
      </c>
      <c r="U2">
        <v>16.399999999999999</v>
      </c>
      <c r="V2">
        <v>15.1</v>
      </c>
      <c r="W2">
        <v>15.1</v>
      </c>
      <c r="X2">
        <v>17</v>
      </c>
      <c r="Y2">
        <v>15.9</v>
      </c>
    </row>
    <row r="3" spans="1:25" x14ac:dyDescent="0.25">
      <c r="A3">
        <v>15.4</v>
      </c>
      <c r="B3">
        <v>15.5</v>
      </c>
      <c r="C3">
        <v>16.3</v>
      </c>
      <c r="D3">
        <v>16.3</v>
      </c>
      <c r="E3">
        <v>15.2</v>
      </c>
      <c r="F3">
        <v>15.4</v>
      </c>
      <c r="G3">
        <v>15.4</v>
      </c>
      <c r="H3">
        <v>15.9</v>
      </c>
      <c r="I3">
        <v>15.8</v>
      </c>
      <c r="J3">
        <v>14.8</v>
      </c>
      <c r="K3">
        <v>15.6</v>
      </c>
      <c r="L3">
        <v>15.7</v>
      </c>
      <c r="M3">
        <v>15.3</v>
      </c>
      <c r="N3">
        <v>16.600000000000001</v>
      </c>
      <c r="O3">
        <v>14.4</v>
      </c>
      <c r="P3">
        <v>15.5</v>
      </c>
      <c r="Q3">
        <v>15.8</v>
      </c>
      <c r="R3">
        <v>15.2</v>
      </c>
      <c r="S3">
        <v>15</v>
      </c>
      <c r="T3">
        <v>14.92</v>
      </c>
      <c r="U3">
        <v>15.2</v>
      </c>
      <c r="V3">
        <v>15</v>
      </c>
      <c r="W3">
        <v>15</v>
      </c>
      <c r="X3">
        <v>15.3</v>
      </c>
      <c r="Y3">
        <v>15.26</v>
      </c>
    </row>
    <row r="4" spans="1:25" x14ac:dyDescent="0.25">
      <c r="A4">
        <v>15.2</v>
      </c>
      <c r="B4">
        <v>15.2</v>
      </c>
      <c r="C4">
        <v>16.7</v>
      </c>
      <c r="D4">
        <v>14.7</v>
      </c>
      <c r="E4">
        <v>16.7</v>
      </c>
      <c r="F4">
        <v>16.399999999999999</v>
      </c>
      <c r="G4">
        <v>14.5</v>
      </c>
      <c r="H4">
        <v>15.7</v>
      </c>
      <c r="I4">
        <v>15.8</v>
      </c>
      <c r="J4">
        <v>15.1</v>
      </c>
      <c r="K4">
        <v>14.9</v>
      </c>
      <c r="L4">
        <v>15.3</v>
      </c>
      <c r="M4">
        <v>14.4</v>
      </c>
      <c r="N4">
        <v>16.100000000000001</v>
      </c>
      <c r="O4">
        <v>17.5</v>
      </c>
      <c r="P4">
        <v>15.5</v>
      </c>
      <c r="Q4">
        <v>16.100000000000001</v>
      </c>
      <c r="R4">
        <v>15</v>
      </c>
      <c r="S4">
        <v>15.4</v>
      </c>
      <c r="T4">
        <v>14.76</v>
      </c>
      <c r="U4">
        <v>14.8</v>
      </c>
      <c r="V4">
        <v>15</v>
      </c>
      <c r="W4">
        <v>15</v>
      </c>
      <c r="X4">
        <v>14.4</v>
      </c>
      <c r="Y4">
        <v>14.76</v>
      </c>
    </row>
    <row r="5" spans="1:25" x14ac:dyDescent="0.25">
      <c r="A5">
        <v>16</v>
      </c>
      <c r="B5">
        <v>15.1</v>
      </c>
      <c r="C5">
        <v>16.3</v>
      </c>
      <c r="D5">
        <v>14.8</v>
      </c>
      <c r="E5">
        <v>15.8</v>
      </c>
      <c r="F5">
        <v>14.8</v>
      </c>
      <c r="G5">
        <v>15.9</v>
      </c>
      <c r="H5">
        <v>15.9</v>
      </c>
      <c r="I5">
        <v>15.8</v>
      </c>
      <c r="J5">
        <v>14.7</v>
      </c>
      <c r="K5">
        <v>15.5</v>
      </c>
      <c r="L5">
        <v>15.95</v>
      </c>
      <c r="M5">
        <v>14.3</v>
      </c>
      <c r="N5">
        <v>13.5</v>
      </c>
      <c r="O5">
        <v>16.5</v>
      </c>
      <c r="P5">
        <v>15.5</v>
      </c>
      <c r="Q5">
        <v>16.2</v>
      </c>
      <c r="R5">
        <v>14.8</v>
      </c>
      <c r="S5">
        <v>15.4</v>
      </c>
      <c r="T5">
        <v>15.04</v>
      </c>
      <c r="U5">
        <v>15.8</v>
      </c>
      <c r="V5">
        <v>14.8</v>
      </c>
      <c r="W5">
        <v>14.8</v>
      </c>
      <c r="X5">
        <v>14.3</v>
      </c>
      <c r="Y5">
        <v>14.22</v>
      </c>
    </row>
    <row r="6" spans="1:25" x14ac:dyDescent="0.25">
      <c r="A6">
        <v>15.4</v>
      </c>
      <c r="B6">
        <v>16.7</v>
      </c>
      <c r="C6">
        <v>15.8</v>
      </c>
      <c r="D6">
        <v>14.1</v>
      </c>
      <c r="E6">
        <v>17</v>
      </c>
      <c r="F6">
        <v>15.2</v>
      </c>
      <c r="G6">
        <v>15.7</v>
      </c>
      <c r="H6">
        <v>15</v>
      </c>
      <c r="I6">
        <v>15.3</v>
      </c>
      <c r="J6">
        <v>14.7</v>
      </c>
      <c r="K6">
        <v>15.9</v>
      </c>
      <c r="L6">
        <v>15.7</v>
      </c>
      <c r="M6">
        <v>15.1</v>
      </c>
      <c r="N6">
        <v>15.1</v>
      </c>
      <c r="O6">
        <v>16.100000000000001</v>
      </c>
      <c r="P6">
        <v>15</v>
      </c>
      <c r="Q6">
        <v>15.4</v>
      </c>
      <c r="R6">
        <v>14.8</v>
      </c>
      <c r="S6">
        <v>15.2</v>
      </c>
      <c r="T6">
        <v>14.36</v>
      </c>
      <c r="U6">
        <v>14.7</v>
      </c>
      <c r="V6">
        <v>14.7</v>
      </c>
      <c r="W6">
        <v>14.7</v>
      </c>
      <c r="X6">
        <v>15.1</v>
      </c>
      <c r="Y6">
        <v>14.74</v>
      </c>
    </row>
    <row r="7" spans="1:25" x14ac:dyDescent="0.25">
      <c r="A7">
        <v>15.8</v>
      </c>
      <c r="B7">
        <v>16.2</v>
      </c>
      <c r="C7">
        <v>15.4</v>
      </c>
      <c r="D7">
        <v>14.1</v>
      </c>
      <c r="E7">
        <v>15.9</v>
      </c>
      <c r="F7">
        <v>15.4</v>
      </c>
      <c r="G7">
        <v>16.7</v>
      </c>
      <c r="H7">
        <v>14.8</v>
      </c>
      <c r="I7">
        <v>15.4</v>
      </c>
      <c r="J7">
        <v>14.5</v>
      </c>
      <c r="K7">
        <v>16</v>
      </c>
      <c r="L7">
        <v>16.149999999999999</v>
      </c>
      <c r="M7">
        <v>15.6</v>
      </c>
      <c r="N7">
        <v>15.5</v>
      </c>
      <c r="O7">
        <v>15.1</v>
      </c>
      <c r="P7">
        <v>15.2</v>
      </c>
      <c r="Q7">
        <v>15.9</v>
      </c>
      <c r="R7">
        <v>14.5</v>
      </c>
      <c r="S7">
        <v>15.35</v>
      </c>
      <c r="T7">
        <v>14.5</v>
      </c>
      <c r="U7">
        <v>15.4</v>
      </c>
      <c r="V7">
        <v>15</v>
      </c>
      <c r="W7">
        <v>15</v>
      </c>
      <c r="X7">
        <v>15.6</v>
      </c>
      <c r="Y7">
        <v>15.56</v>
      </c>
    </row>
    <row r="8" spans="1:25" x14ac:dyDescent="0.25">
      <c r="A8">
        <v>15.3</v>
      </c>
      <c r="B8">
        <v>15.75</v>
      </c>
      <c r="C8">
        <v>15.2</v>
      </c>
      <c r="D8">
        <v>15.5</v>
      </c>
      <c r="E8">
        <v>17.100000000000001</v>
      </c>
      <c r="F8">
        <v>15.2</v>
      </c>
      <c r="G8">
        <v>14.9</v>
      </c>
      <c r="H8">
        <v>14.9</v>
      </c>
      <c r="I8">
        <v>15.6</v>
      </c>
      <c r="J8">
        <v>14.4</v>
      </c>
      <c r="K8">
        <v>16.2</v>
      </c>
      <c r="L8">
        <v>16.55</v>
      </c>
      <c r="M8">
        <v>14.6</v>
      </c>
      <c r="N8">
        <v>15.3</v>
      </c>
      <c r="O8">
        <v>15.7</v>
      </c>
      <c r="P8">
        <v>15.7</v>
      </c>
      <c r="Q8">
        <v>16.2</v>
      </c>
      <c r="R8">
        <v>14.5</v>
      </c>
      <c r="S8">
        <v>15.2</v>
      </c>
      <c r="T8">
        <v>15.92</v>
      </c>
      <c r="U8">
        <v>14.8</v>
      </c>
      <c r="V8">
        <v>14.7</v>
      </c>
      <c r="W8">
        <v>14.7</v>
      </c>
      <c r="X8">
        <v>14.6</v>
      </c>
      <c r="Y8">
        <v>14.28</v>
      </c>
    </row>
    <row r="9" spans="1:25" x14ac:dyDescent="0.25">
      <c r="A9">
        <v>15.3</v>
      </c>
      <c r="B9">
        <v>15.5</v>
      </c>
      <c r="C9">
        <v>15.6</v>
      </c>
      <c r="D9">
        <v>15.3</v>
      </c>
      <c r="E9">
        <v>16.2</v>
      </c>
      <c r="F9">
        <v>15.5</v>
      </c>
      <c r="G9">
        <v>14.2</v>
      </c>
      <c r="H9">
        <v>15.6</v>
      </c>
      <c r="I9">
        <v>15.9</v>
      </c>
      <c r="J9">
        <v>16.600000000000001</v>
      </c>
      <c r="K9">
        <v>15.6</v>
      </c>
      <c r="L9">
        <v>15.6</v>
      </c>
      <c r="M9">
        <v>15.1</v>
      </c>
      <c r="N9">
        <v>13.9</v>
      </c>
      <c r="O9">
        <v>14.9</v>
      </c>
      <c r="P9">
        <v>15.4</v>
      </c>
      <c r="Q9">
        <v>16.7</v>
      </c>
      <c r="R9">
        <v>15.2</v>
      </c>
      <c r="S9">
        <v>14.3</v>
      </c>
      <c r="T9">
        <v>16.36</v>
      </c>
      <c r="U9">
        <v>14.7</v>
      </c>
      <c r="V9">
        <v>14.8</v>
      </c>
      <c r="W9">
        <v>14.8</v>
      </c>
      <c r="X9">
        <v>15.1</v>
      </c>
      <c r="Y9">
        <v>14.58</v>
      </c>
    </row>
    <row r="10" spans="1:25" x14ac:dyDescent="0.25">
      <c r="A10">
        <v>15.6</v>
      </c>
      <c r="B10">
        <v>15.35</v>
      </c>
      <c r="C10">
        <v>14.8</v>
      </c>
      <c r="D10">
        <v>14.7</v>
      </c>
      <c r="E10">
        <v>16.2</v>
      </c>
      <c r="F10">
        <v>14.7</v>
      </c>
      <c r="G10">
        <v>14.8</v>
      </c>
      <c r="H10">
        <v>15.4</v>
      </c>
      <c r="I10">
        <v>15.9</v>
      </c>
      <c r="J10">
        <v>16.100000000000001</v>
      </c>
      <c r="K10">
        <v>16.399999999999999</v>
      </c>
      <c r="L10">
        <v>15.75</v>
      </c>
      <c r="M10">
        <v>15.3</v>
      </c>
      <c r="N10">
        <v>14.5</v>
      </c>
      <c r="O10">
        <v>15.2</v>
      </c>
      <c r="P10">
        <v>14.9</v>
      </c>
      <c r="Q10">
        <v>15.8</v>
      </c>
      <c r="R10">
        <v>15.9</v>
      </c>
      <c r="S10">
        <v>16.100000000000001</v>
      </c>
      <c r="T10">
        <v>16</v>
      </c>
      <c r="U10">
        <v>15</v>
      </c>
      <c r="V10">
        <v>14.4</v>
      </c>
      <c r="W10">
        <v>14.4</v>
      </c>
      <c r="X10">
        <v>15.3</v>
      </c>
      <c r="Y10">
        <v>14.2</v>
      </c>
    </row>
    <row r="11" spans="1:25" x14ac:dyDescent="0.25">
      <c r="A11">
        <v>15.6</v>
      </c>
      <c r="B11">
        <v>15.35</v>
      </c>
      <c r="C11">
        <v>14.9</v>
      </c>
      <c r="D11">
        <v>15.6</v>
      </c>
      <c r="E11">
        <v>15.5</v>
      </c>
      <c r="F11">
        <v>14.8</v>
      </c>
      <c r="G11">
        <v>16.399999999999999</v>
      </c>
      <c r="H11">
        <v>15.4</v>
      </c>
      <c r="I11">
        <v>16.100000000000001</v>
      </c>
      <c r="J11">
        <v>15.9</v>
      </c>
      <c r="K11">
        <v>14.8</v>
      </c>
      <c r="L11">
        <v>15.45</v>
      </c>
      <c r="M11">
        <v>15.9</v>
      </c>
      <c r="N11">
        <v>16.100000000000001</v>
      </c>
      <c r="O11">
        <v>15.4</v>
      </c>
      <c r="P11">
        <v>15.1</v>
      </c>
      <c r="Q11">
        <v>15.7</v>
      </c>
      <c r="R11">
        <v>14.7</v>
      </c>
      <c r="S11">
        <v>13.9</v>
      </c>
      <c r="T11">
        <v>14.9</v>
      </c>
      <c r="U11">
        <v>15.3</v>
      </c>
      <c r="V11">
        <v>15.2</v>
      </c>
      <c r="W11">
        <v>15.2</v>
      </c>
      <c r="X11">
        <v>15.9</v>
      </c>
      <c r="Y11">
        <v>14.24</v>
      </c>
    </row>
    <row r="12" spans="1:25" x14ac:dyDescent="0.25">
      <c r="A12">
        <v>16.3</v>
      </c>
      <c r="B12">
        <v>15.2</v>
      </c>
      <c r="C12">
        <v>15.3</v>
      </c>
      <c r="D12">
        <v>14.4</v>
      </c>
      <c r="E12">
        <v>15.1</v>
      </c>
      <c r="F12">
        <v>14.15</v>
      </c>
      <c r="G12">
        <v>16</v>
      </c>
      <c r="H12">
        <v>15</v>
      </c>
      <c r="I12">
        <v>15.1</v>
      </c>
      <c r="J12">
        <v>14.9</v>
      </c>
      <c r="K12">
        <v>14.3</v>
      </c>
      <c r="L12">
        <v>15.7</v>
      </c>
      <c r="M12">
        <v>15.8</v>
      </c>
      <c r="N12">
        <v>15.5</v>
      </c>
      <c r="O12">
        <v>15.9</v>
      </c>
      <c r="P12">
        <v>15.1</v>
      </c>
      <c r="Q12">
        <v>16.399999999999999</v>
      </c>
      <c r="R12">
        <v>15</v>
      </c>
      <c r="S12">
        <v>16.399999999999999</v>
      </c>
      <c r="T12">
        <v>14.6</v>
      </c>
      <c r="U12">
        <v>16</v>
      </c>
      <c r="V12">
        <v>15.3</v>
      </c>
      <c r="W12">
        <v>15.3</v>
      </c>
      <c r="X12">
        <v>15.8</v>
      </c>
      <c r="Y12">
        <v>14.18</v>
      </c>
    </row>
    <row r="13" spans="1:25" x14ac:dyDescent="0.25">
      <c r="A13">
        <v>15.7</v>
      </c>
      <c r="B13">
        <v>15.4</v>
      </c>
      <c r="C13">
        <v>14.7</v>
      </c>
      <c r="D13">
        <v>14.3</v>
      </c>
      <c r="E13">
        <v>16.2</v>
      </c>
      <c r="F13">
        <v>15.6</v>
      </c>
      <c r="G13">
        <v>15.6</v>
      </c>
      <c r="H13">
        <v>15.2</v>
      </c>
      <c r="I13">
        <v>15.1</v>
      </c>
      <c r="J13">
        <v>14.9</v>
      </c>
      <c r="K13">
        <v>15.9</v>
      </c>
      <c r="L13">
        <v>15.35</v>
      </c>
      <c r="M13">
        <v>15.05</v>
      </c>
      <c r="N13">
        <v>15.3</v>
      </c>
      <c r="O13">
        <v>15.4</v>
      </c>
      <c r="P13">
        <v>15.7</v>
      </c>
      <c r="Q13">
        <v>16.7</v>
      </c>
      <c r="R13">
        <v>15</v>
      </c>
      <c r="S13">
        <v>15.3</v>
      </c>
      <c r="T13">
        <v>15.1</v>
      </c>
      <c r="U13">
        <v>15.4</v>
      </c>
      <c r="V13">
        <v>16.5</v>
      </c>
      <c r="W13">
        <v>16.5</v>
      </c>
      <c r="X13">
        <v>15.05</v>
      </c>
      <c r="Y13">
        <v>14.15</v>
      </c>
    </row>
    <row r="14" spans="1:25" x14ac:dyDescent="0.25">
      <c r="A14">
        <v>14.7</v>
      </c>
      <c r="B14">
        <v>15.2</v>
      </c>
      <c r="C14">
        <v>14.5</v>
      </c>
      <c r="D14">
        <v>15.8</v>
      </c>
      <c r="E14">
        <v>16.2</v>
      </c>
      <c r="F14">
        <v>14.15</v>
      </c>
      <c r="G14">
        <v>16.100000000000001</v>
      </c>
      <c r="H14">
        <v>16.3</v>
      </c>
      <c r="I14">
        <v>15.3</v>
      </c>
      <c r="J14">
        <v>14.6</v>
      </c>
      <c r="K14">
        <v>15.3</v>
      </c>
      <c r="L14">
        <v>14.1</v>
      </c>
      <c r="M14">
        <v>13.55</v>
      </c>
      <c r="N14">
        <v>16.5</v>
      </c>
      <c r="O14">
        <v>16.100000000000001</v>
      </c>
      <c r="P14">
        <v>15.3</v>
      </c>
      <c r="Q14">
        <v>14.9</v>
      </c>
      <c r="R14">
        <v>16</v>
      </c>
      <c r="S14">
        <v>15.2</v>
      </c>
      <c r="T14">
        <v>15.3</v>
      </c>
      <c r="U14">
        <v>16.2</v>
      </c>
      <c r="V14">
        <v>15.2</v>
      </c>
      <c r="W14">
        <v>15.2</v>
      </c>
      <c r="X14">
        <v>13.55</v>
      </c>
      <c r="Y14">
        <v>14.6</v>
      </c>
    </row>
    <row r="15" spans="1:25" x14ac:dyDescent="0.25">
      <c r="A15">
        <v>16.2</v>
      </c>
      <c r="B15">
        <v>15.3</v>
      </c>
      <c r="C15">
        <v>14.7</v>
      </c>
      <c r="D15">
        <v>15.3</v>
      </c>
      <c r="E15">
        <v>16.3</v>
      </c>
      <c r="F15">
        <v>15.1</v>
      </c>
      <c r="G15">
        <v>16</v>
      </c>
      <c r="H15">
        <v>14.6</v>
      </c>
      <c r="I15">
        <v>15.2</v>
      </c>
      <c r="J15">
        <v>15.5</v>
      </c>
      <c r="K15">
        <v>17</v>
      </c>
      <c r="L15">
        <v>14.7</v>
      </c>
      <c r="M15">
        <v>14.8</v>
      </c>
      <c r="N15">
        <v>15</v>
      </c>
      <c r="O15">
        <v>15.1</v>
      </c>
      <c r="P15">
        <v>15.7</v>
      </c>
      <c r="Q15">
        <v>15.6</v>
      </c>
      <c r="R15">
        <v>15.45</v>
      </c>
      <c r="S15">
        <v>15.4</v>
      </c>
      <c r="T15">
        <v>14.3</v>
      </c>
      <c r="U15">
        <v>16.3</v>
      </c>
      <c r="V15">
        <v>17</v>
      </c>
      <c r="W15">
        <v>17</v>
      </c>
      <c r="X15">
        <v>14.8</v>
      </c>
      <c r="Y15">
        <v>15.1</v>
      </c>
    </row>
    <row r="16" spans="1:25" x14ac:dyDescent="0.25">
      <c r="A16">
        <v>15.7</v>
      </c>
      <c r="B16">
        <v>15.9</v>
      </c>
      <c r="C16">
        <v>13.9</v>
      </c>
      <c r="D16">
        <v>14.5</v>
      </c>
      <c r="E16">
        <v>16.100000000000001</v>
      </c>
      <c r="F16">
        <v>16.7</v>
      </c>
      <c r="G16">
        <v>16.5</v>
      </c>
      <c r="H16">
        <v>15.25</v>
      </c>
      <c r="I16">
        <v>15.2</v>
      </c>
      <c r="J16">
        <v>14.2</v>
      </c>
      <c r="K16">
        <v>16.7</v>
      </c>
      <c r="L16">
        <v>15.5</v>
      </c>
      <c r="M16">
        <v>15</v>
      </c>
      <c r="N16">
        <v>16.399999999999999</v>
      </c>
      <c r="O16">
        <v>14.9</v>
      </c>
      <c r="P16">
        <v>16</v>
      </c>
      <c r="Q16">
        <v>16.7</v>
      </c>
      <c r="R16">
        <v>17.8</v>
      </c>
      <c r="S16">
        <v>15.4</v>
      </c>
      <c r="T16">
        <v>16.100000000000001</v>
      </c>
      <c r="U16">
        <v>15.1</v>
      </c>
      <c r="V16">
        <v>14.7</v>
      </c>
      <c r="W16">
        <v>14.7</v>
      </c>
      <c r="X16">
        <v>15</v>
      </c>
      <c r="Y16">
        <v>15.4</v>
      </c>
    </row>
    <row r="17" spans="1:25" x14ac:dyDescent="0.25">
      <c r="A17">
        <v>16.7</v>
      </c>
      <c r="B17">
        <v>15.8</v>
      </c>
      <c r="C17">
        <v>16</v>
      </c>
      <c r="D17">
        <v>14.2</v>
      </c>
      <c r="E17">
        <v>16.899999999999999</v>
      </c>
      <c r="F17">
        <v>15.8</v>
      </c>
      <c r="G17">
        <v>15.2</v>
      </c>
      <c r="H17">
        <v>16.850000000000001</v>
      </c>
      <c r="I17">
        <v>16.100000000000001</v>
      </c>
      <c r="J17">
        <v>13.1</v>
      </c>
      <c r="K17">
        <v>14.7</v>
      </c>
      <c r="L17">
        <v>15.5</v>
      </c>
      <c r="M17">
        <v>17.8</v>
      </c>
      <c r="N17">
        <v>12.6</v>
      </c>
      <c r="O17">
        <v>15.1</v>
      </c>
      <c r="P17">
        <v>15.9</v>
      </c>
      <c r="Q17">
        <v>16.5</v>
      </c>
      <c r="R17">
        <v>14</v>
      </c>
      <c r="S17">
        <v>15.2</v>
      </c>
      <c r="T17">
        <v>14.82</v>
      </c>
      <c r="U17">
        <v>15.1</v>
      </c>
      <c r="V17">
        <v>14</v>
      </c>
      <c r="W17">
        <v>14</v>
      </c>
      <c r="X17">
        <v>17.8</v>
      </c>
      <c r="Y17">
        <v>15.1</v>
      </c>
    </row>
    <row r="18" spans="1:25" x14ac:dyDescent="0.25">
      <c r="A18">
        <v>15.7</v>
      </c>
      <c r="B18">
        <v>15.6</v>
      </c>
      <c r="C18">
        <v>16.5</v>
      </c>
      <c r="D18">
        <v>15.1</v>
      </c>
      <c r="E18">
        <v>17.5</v>
      </c>
      <c r="F18">
        <v>14.9</v>
      </c>
      <c r="G18">
        <v>17.399999999999999</v>
      </c>
      <c r="H18">
        <v>15.5</v>
      </c>
      <c r="I18">
        <v>14.4</v>
      </c>
      <c r="J18">
        <v>14.8</v>
      </c>
      <c r="K18">
        <v>15.4</v>
      </c>
      <c r="L18">
        <v>15.6</v>
      </c>
      <c r="M18">
        <v>15.2</v>
      </c>
      <c r="N18">
        <v>14.7</v>
      </c>
      <c r="O18">
        <v>14.4</v>
      </c>
      <c r="P18">
        <v>15.9</v>
      </c>
      <c r="Q18">
        <v>15.6</v>
      </c>
      <c r="R18">
        <v>14.5</v>
      </c>
      <c r="S18">
        <v>14.6</v>
      </c>
      <c r="T18">
        <v>14.94</v>
      </c>
      <c r="U18">
        <v>15.6</v>
      </c>
      <c r="V18">
        <v>14.9</v>
      </c>
      <c r="W18">
        <v>14.9</v>
      </c>
      <c r="X18">
        <v>15.2</v>
      </c>
      <c r="Y18">
        <v>14.8</v>
      </c>
    </row>
    <row r="19" spans="1:25" x14ac:dyDescent="0.25">
      <c r="A19">
        <v>16.3</v>
      </c>
      <c r="B19">
        <v>14.7</v>
      </c>
      <c r="C19">
        <v>16.600000000000001</v>
      </c>
      <c r="D19">
        <v>16.399999999999999</v>
      </c>
      <c r="E19">
        <v>16.12</v>
      </c>
      <c r="F19">
        <v>16.399999999999999</v>
      </c>
      <c r="G19">
        <v>16.7</v>
      </c>
      <c r="H19">
        <v>15.6</v>
      </c>
      <c r="I19">
        <v>16.600000000000001</v>
      </c>
      <c r="J19">
        <v>16.5</v>
      </c>
      <c r="K19">
        <v>15.4</v>
      </c>
      <c r="L19">
        <v>15.65</v>
      </c>
      <c r="M19">
        <v>14.5</v>
      </c>
      <c r="N19">
        <v>14.3</v>
      </c>
      <c r="O19">
        <v>15.3</v>
      </c>
      <c r="P19">
        <v>16.05</v>
      </c>
      <c r="Q19">
        <v>17</v>
      </c>
      <c r="R19">
        <v>15.3</v>
      </c>
      <c r="S19">
        <v>15.4</v>
      </c>
      <c r="T19">
        <v>14.76</v>
      </c>
      <c r="U19">
        <v>14.8</v>
      </c>
      <c r="V19">
        <v>15</v>
      </c>
      <c r="W19">
        <v>15</v>
      </c>
      <c r="X19">
        <v>14.5</v>
      </c>
      <c r="Y19">
        <v>15.7</v>
      </c>
    </row>
    <row r="20" spans="1:25" x14ac:dyDescent="0.25">
      <c r="A20">
        <v>15.7</v>
      </c>
      <c r="B20">
        <v>14.6</v>
      </c>
      <c r="C20">
        <v>15.7</v>
      </c>
      <c r="D20">
        <v>14.9</v>
      </c>
      <c r="E20">
        <v>15.4</v>
      </c>
      <c r="F20">
        <v>14.2</v>
      </c>
      <c r="G20">
        <v>14.8</v>
      </c>
      <c r="H20">
        <v>16.2</v>
      </c>
      <c r="I20">
        <v>15.3</v>
      </c>
      <c r="J20">
        <v>13.8</v>
      </c>
      <c r="K20">
        <v>15.55</v>
      </c>
      <c r="L20">
        <v>16</v>
      </c>
      <c r="M20">
        <v>15</v>
      </c>
      <c r="N20">
        <v>14.8</v>
      </c>
      <c r="O20">
        <v>14.8</v>
      </c>
      <c r="P20">
        <v>15.6</v>
      </c>
      <c r="Q20">
        <v>16.100000000000001</v>
      </c>
      <c r="R20">
        <v>14</v>
      </c>
      <c r="S20">
        <v>15.1</v>
      </c>
      <c r="T20">
        <v>14.56</v>
      </c>
      <c r="U20">
        <v>14.9</v>
      </c>
      <c r="V20">
        <v>15</v>
      </c>
      <c r="W20">
        <v>15</v>
      </c>
      <c r="X20">
        <v>15</v>
      </c>
      <c r="Y20">
        <v>14.3</v>
      </c>
    </row>
    <row r="21" spans="1:25" x14ac:dyDescent="0.25">
      <c r="A21">
        <v>16.2</v>
      </c>
      <c r="B21">
        <v>17</v>
      </c>
      <c r="C21">
        <v>15.5</v>
      </c>
      <c r="D21">
        <v>13.6</v>
      </c>
      <c r="E21">
        <v>15.4</v>
      </c>
      <c r="F21">
        <v>15.8</v>
      </c>
      <c r="G21">
        <v>15.6</v>
      </c>
      <c r="H21">
        <v>15.3</v>
      </c>
      <c r="I21">
        <v>15.3</v>
      </c>
      <c r="J21">
        <v>14.3</v>
      </c>
      <c r="K21">
        <v>16</v>
      </c>
      <c r="L21">
        <v>16.149999999999999</v>
      </c>
      <c r="M21">
        <v>15.3</v>
      </c>
      <c r="N21">
        <v>15.3</v>
      </c>
      <c r="O21">
        <v>15.7</v>
      </c>
      <c r="P21">
        <v>15.9</v>
      </c>
      <c r="Q21">
        <v>14</v>
      </c>
      <c r="R21">
        <v>14.6</v>
      </c>
      <c r="S21">
        <v>15.4</v>
      </c>
      <c r="T21">
        <v>14.88</v>
      </c>
      <c r="U21">
        <v>14.7</v>
      </c>
      <c r="V21">
        <v>14.9</v>
      </c>
      <c r="W21">
        <v>14.9</v>
      </c>
      <c r="X21">
        <v>15.3</v>
      </c>
      <c r="Y21">
        <v>14.2</v>
      </c>
    </row>
    <row r="22" spans="1:25" x14ac:dyDescent="0.25">
      <c r="A22">
        <v>15.7</v>
      </c>
      <c r="B22">
        <v>15.55</v>
      </c>
      <c r="C22">
        <v>15.8</v>
      </c>
      <c r="D22">
        <v>14.2</v>
      </c>
      <c r="E22">
        <v>16.600000000000001</v>
      </c>
      <c r="F22">
        <v>15.3</v>
      </c>
      <c r="G22">
        <v>16.7</v>
      </c>
      <c r="H22">
        <v>15.7</v>
      </c>
      <c r="I22">
        <v>15.5</v>
      </c>
      <c r="J22">
        <v>14.3</v>
      </c>
      <c r="K22">
        <v>15.8</v>
      </c>
      <c r="L22">
        <v>15.8</v>
      </c>
      <c r="M22">
        <v>15.2</v>
      </c>
      <c r="N22">
        <v>17.399999999999999</v>
      </c>
      <c r="O22">
        <v>15.7</v>
      </c>
      <c r="P22">
        <v>16.100000000000001</v>
      </c>
      <c r="Q22">
        <v>15.3</v>
      </c>
      <c r="R22">
        <v>14.3</v>
      </c>
      <c r="S22">
        <v>15.5</v>
      </c>
      <c r="T22">
        <v>14.62</v>
      </c>
      <c r="U22">
        <v>15.6</v>
      </c>
      <c r="V22">
        <v>14.9</v>
      </c>
      <c r="W22">
        <v>14.9</v>
      </c>
      <c r="X22">
        <v>15.2</v>
      </c>
      <c r="Y22">
        <v>14</v>
      </c>
    </row>
    <row r="23" spans="1:25" x14ac:dyDescent="0.25">
      <c r="A23">
        <v>15.4</v>
      </c>
      <c r="B23">
        <v>16</v>
      </c>
      <c r="C23">
        <v>15.3</v>
      </c>
      <c r="D23">
        <v>14.3</v>
      </c>
      <c r="E23">
        <v>17.3</v>
      </c>
      <c r="F23">
        <v>15.9</v>
      </c>
      <c r="G23">
        <v>14.9</v>
      </c>
      <c r="H23">
        <v>15.6</v>
      </c>
      <c r="I23">
        <v>15.8</v>
      </c>
      <c r="J23">
        <v>14.1</v>
      </c>
      <c r="K23">
        <v>16.3</v>
      </c>
      <c r="L23">
        <v>15.31</v>
      </c>
      <c r="M23">
        <v>14.3</v>
      </c>
      <c r="N23">
        <v>15.2</v>
      </c>
      <c r="O23">
        <v>14.8</v>
      </c>
      <c r="P23">
        <v>15.9</v>
      </c>
      <c r="Q23">
        <v>15.9</v>
      </c>
      <c r="R23">
        <v>14.3</v>
      </c>
      <c r="S23">
        <v>14.4</v>
      </c>
      <c r="T23">
        <v>15.76</v>
      </c>
      <c r="U23">
        <v>15.1</v>
      </c>
      <c r="V23">
        <v>14.7</v>
      </c>
      <c r="W23">
        <v>14.7</v>
      </c>
      <c r="X23">
        <v>14.3</v>
      </c>
      <c r="Y23">
        <v>13.7</v>
      </c>
    </row>
    <row r="24" spans="1:25" x14ac:dyDescent="0.25">
      <c r="A24">
        <v>15.4</v>
      </c>
      <c r="B24">
        <v>15.3</v>
      </c>
      <c r="C24">
        <v>16</v>
      </c>
      <c r="D24">
        <v>14.9</v>
      </c>
      <c r="E24">
        <v>16.149999999999999</v>
      </c>
      <c r="F24">
        <v>15.6</v>
      </c>
      <c r="G24">
        <v>15</v>
      </c>
      <c r="H24">
        <v>14.6</v>
      </c>
      <c r="I24">
        <v>15.9</v>
      </c>
      <c r="J24">
        <v>16.600000000000001</v>
      </c>
      <c r="K24">
        <v>16</v>
      </c>
      <c r="L24">
        <v>15.8</v>
      </c>
      <c r="M24">
        <v>15</v>
      </c>
      <c r="N24">
        <v>14.8</v>
      </c>
      <c r="O24">
        <v>16.399999999999999</v>
      </c>
      <c r="P24">
        <v>15.85</v>
      </c>
      <c r="Q24">
        <v>16.5</v>
      </c>
      <c r="R24">
        <v>14.7</v>
      </c>
      <c r="S24">
        <v>14.5</v>
      </c>
      <c r="T24">
        <v>16.52</v>
      </c>
      <c r="U24">
        <v>14.3</v>
      </c>
      <c r="V24">
        <v>14.8</v>
      </c>
      <c r="W24">
        <v>14.8</v>
      </c>
      <c r="X24">
        <v>15</v>
      </c>
      <c r="Y24">
        <v>14.4</v>
      </c>
    </row>
    <row r="25" spans="1:25" x14ac:dyDescent="0.25">
      <c r="A25">
        <v>16</v>
      </c>
      <c r="B25">
        <v>15.4</v>
      </c>
      <c r="C25">
        <v>15</v>
      </c>
      <c r="D25">
        <v>14.6</v>
      </c>
      <c r="E25">
        <v>16.3</v>
      </c>
      <c r="F25">
        <v>15</v>
      </c>
      <c r="G25">
        <v>14.8</v>
      </c>
      <c r="H25">
        <v>15.3</v>
      </c>
      <c r="I25">
        <v>15.9</v>
      </c>
      <c r="J25">
        <v>15.6</v>
      </c>
      <c r="K25">
        <v>16.8</v>
      </c>
      <c r="L25">
        <v>15.45</v>
      </c>
      <c r="M25">
        <v>15.2</v>
      </c>
      <c r="N25">
        <v>14.3</v>
      </c>
      <c r="O25">
        <v>15.8</v>
      </c>
      <c r="P25">
        <v>15.6</v>
      </c>
      <c r="Q25">
        <v>16.600000000000001</v>
      </c>
      <c r="R25">
        <v>14.6</v>
      </c>
      <c r="S25">
        <v>16.3</v>
      </c>
      <c r="T25">
        <v>15.7</v>
      </c>
      <c r="U25">
        <v>15.4</v>
      </c>
      <c r="V25">
        <v>14.6</v>
      </c>
      <c r="W25">
        <v>14.6</v>
      </c>
      <c r="X25">
        <v>15.2</v>
      </c>
      <c r="Y25">
        <v>14.8</v>
      </c>
    </row>
    <row r="26" spans="1:25" x14ac:dyDescent="0.25">
      <c r="A26">
        <v>15.8</v>
      </c>
      <c r="B26">
        <v>15.4</v>
      </c>
      <c r="C26">
        <v>15.2</v>
      </c>
      <c r="D26">
        <v>14.3</v>
      </c>
      <c r="E26">
        <v>15.3</v>
      </c>
      <c r="F26">
        <v>15</v>
      </c>
      <c r="G26">
        <v>15.6</v>
      </c>
      <c r="H26">
        <v>15.3</v>
      </c>
      <c r="I26">
        <v>15.5</v>
      </c>
      <c r="J26">
        <v>16.2</v>
      </c>
      <c r="K26">
        <v>15.9</v>
      </c>
      <c r="L26">
        <v>15.85</v>
      </c>
      <c r="M26">
        <v>15.7</v>
      </c>
      <c r="N26">
        <v>15.7</v>
      </c>
      <c r="O26">
        <v>15.4</v>
      </c>
      <c r="P26">
        <v>16.649999999999999</v>
      </c>
      <c r="Q26">
        <v>15.8</v>
      </c>
      <c r="R26">
        <v>15.48</v>
      </c>
      <c r="S26">
        <v>13.6</v>
      </c>
      <c r="T26">
        <v>14.6</v>
      </c>
      <c r="U26">
        <v>15.5</v>
      </c>
      <c r="V26">
        <v>16.399999999999999</v>
      </c>
      <c r="W26">
        <v>16.399999999999999</v>
      </c>
      <c r="X26">
        <v>15.7</v>
      </c>
      <c r="Y26">
        <v>17.600000000000001</v>
      </c>
    </row>
    <row r="27" spans="1:25" x14ac:dyDescent="0.25">
      <c r="A27">
        <v>15.8</v>
      </c>
      <c r="B27">
        <v>15.25</v>
      </c>
      <c r="C27">
        <v>15.2</v>
      </c>
      <c r="D27">
        <v>14.7</v>
      </c>
      <c r="E27">
        <v>14.2</v>
      </c>
      <c r="F27">
        <v>15.4</v>
      </c>
      <c r="G27">
        <v>15</v>
      </c>
      <c r="H27">
        <v>15.2</v>
      </c>
      <c r="I27">
        <v>15.2</v>
      </c>
      <c r="J27">
        <v>14.8</v>
      </c>
      <c r="K27">
        <v>16</v>
      </c>
      <c r="L27">
        <v>15.55</v>
      </c>
      <c r="M27">
        <v>15.6</v>
      </c>
      <c r="N27">
        <v>15.6</v>
      </c>
      <c r="O27">
        <v>15.9</v>
      </c>
      <c r="P27">
        <v>15.8</v>
      </c>
      <c r="Q27">
        <v>16.899999999999999</v>
      </c>
      <c r="R27">
        <v>14.5</v>
      </c>
      <c r="S27">
        <v>15</v>
      </c>
      <c r="T27">
        <v>14.8</v>
      </c>
      <c r="U27">
        <v>16.899999999999999</v>
      </c>
      <c r="V27">
        <v>14.8</v>
      </c>
      <c r="W27">
        <v>14.8</v>
      </c>
      <c r="X27">
        <v>15.6</v>
      </c>
      <c r="Y27">
        <v>16.2</v>
      </c>
    </row>
    <row r="28" spans="1:25" x14ac:dyDescent="0.25">
      <c r="A28">
        <v>15.3</v>
      </c>
      <c r="B28">
        <v>15.2</v>
      </c>
      <c r="C28">
        <v>15</v>
      </c>
      <c r="D28">
        <v>14.2</v>
      </c>
      <c r="E28">
        <v>15.4</v>
      </c>
      <c r="F28">
        <v>15.6</v>
      </c>
      <c r="G28">
        <v>15.6</v>
      </c>
      <c r="H28">
        <v>15.4</v>
      </c>
      <c r="I28">
        <v>16.5</v>
      </c>
      <c r="J28">
        <v>15.5</v>
      </c>
      <c r="K28">
        <v>15.1</v>
      </c>
      <c r="L28">
        <v>15.3</v>
      </c>
      <c r="M28">
        <v>14.4</v>
      </c>
      <c r="N28">
        <v>15.4</v>
      </c>
      <c r="O28">
        <v>16.100000000000001</v>
      </c>
      <c r="P28">
        <v>16.8</v>
      </c>
      <c r="Q28">
        <v>16.3</v>
      </c>
      <c r="R28">
        <v>15.7</v>
      </c>
      <c r="S28">
        <v>16.600000000000001</v>
      </c>
      <c r="T28">
        <v>15.1</v>
      </c>
      <c r="U28">
        <v>16.2</v>
      </c>
      <c r="V28">
        <v>16</v>
      </c>
      <c r="W28">
        <v>16</v>
      </c>
      <c r="X28">
        <v>14.4</v>
      </c>
      <c r="Y28">
        <v>17.100000000000001</v>
      </c>
    </row>
    <row r="29" spans="1:25" x14ac:dyDescent="0.25">
      <c r="A29">
        <v>15</v>
      </c>
      <c r="B29">
        <v>15.4</v>
      </c>
      <c r="C29">
        <v>14.7</v>
      </c>
      <c r="D29">
        <v>13.7</v>
      </c>
      <c r="E29">
        <v>14.6</v>
      </c>
      <c r="F29">
        <v>14.4</v>
      </c>
      <c r="G29">
        <v>15.7</v>
      </c>
      <c r="H29">
        <v>16</v>
      </c>
      <c r="I29">
        <v>14.75</v>
      </c>
      <c r="J29">
        <v>15.6</v>
      </c>
      <c r="K29">
        <v>15.9</v>
      </c>
      <c r="L29">
        <v>15.5</v>
      </c>
      <c r="M29">
        <v>14</v>
      </c>
      <c r="N29">
        <v>15.9</v>
      </c>
      <c r="O29">
        <v>16.3</v>
      </c>
      <c r="P29">
        <v>15.6</v>
      </c>
      <c r="Q29">
        <v>14.8</v>
      </c>
      <c r="R29">
        <v>15.5</v>
      </c>
      <c r="S29">
        <v>15.2</v>
      </c>
      <c r="T29">
        <v>15.4</v>
      </c>
      <c r="U29">
        <v>14.9</v>
      </c>
      <c r="V29">
        <v>16.899999999999999</v>
      </c>
      <c r="W29">
        <v>16.899999999999999</v>
      </c>
      <c r="X29">
        <v>14</v>
      </c>
      <c r="Y29">
        <v>17</v>
      </c>
    </row>
    <row r="30" spans="1:25" x14ac:dyDescent="0.25">
      <c r="A30">
        <v>15.4</v>
      </c>
      <c r="B30">
        <v>15</v>
      </c>
      <c r="C30">
        <v>14.8</v>
      </c>
      <c r="D30">
        <v>15.6</v>
      </c>
      <c r="E30">
        <v>16.100000000000001</v>
      </c>
      <c r="F30">
        <v>15.9</v>
      </c>
      <c r="G30">
        <v>16</v>
      </c>
      <c r="H30">
        <v>14.2</v>
      </c>
      <c r="I30">
        <v>15.1</v>
      </c>
      <c r="J30">
        <v>15.6</v>
      </c>
      <c r="K30">
        <v>14.9</v>
      </c>
      <c r="L30">
        <v>14.7</v>
      </c>
      <c r="M30">
        <v>15</v>
      </c>
      <c r="N30">
        <v>15.6</v>
      </c>
      <c r="O30">
        <v>16.2</v>
      </c>
      <c r="P30">
        <v>15.2</v>
      </c>
      <c r="Q30">
        <v>15.1</v>
      </c>
      <c r="R30">
        <v>14.95</v>
      </c>
      <c r="S30">
        <v>14.5</v>
      </c>
      <c r="T30">
        <v>14.6</v>
      </c>
      <c r="U30">
        <v>15.6</v>
      </c>
      <c r="V30">
        <v>14.38</v>
      </c>
      <c r="W30">
        <v>14.38</v>
      </c>
      <c r="X30">
        <v>15</v>
      </c>
      <c r="Y30">
        <v>14.8</v>
      </c>
    </row>
    <row r="31" spans="1:25" x14ac:dyDescent="0.25">
      <c r="A31">
        <v>15.3</v>
      </c>
      <c r="B31">
        <v>15.8</v>
      </c>
      <c r="C31">
        <v>16</v>
      </c>
      <c r="D31">
        <v>13.8</v>
      </c>
      <c r="E31">
        <v>15.9</v>
      </c>
      <c r="F31">
        <v>15.3</v>
      </c>
      <c r="G31">
        <v>16.2</v>
      </c>
      <c r="H31">
        <v>15.1</v>
      </c>
      <c r="I31">
        <v>16.100000000000001</v>
      </c>
      <c r="J31">
        <v>13.8</v>
      </c>
      <c r="K31">
        <v>14.8</v>
      </c>
      <c r="L31">
        <v>15.5</v>
      </c>
      <c r="M31">
        <v>16.8</v>
      </c>
      <c r="N31">
        <v>14.1</v>
      </c>
      <c r="O31">
        <v>15.9</v>
      </c>
      <c r="P31">
        <v>15.7</v>
      </c>
      <c r="Q31">
        <v>15.2</v>
      </c>
      <c r="R31">
        <v>16</v>
      </c>
      <c r="S31">
        <v>15.5</v>
      </c>
      <c r="T31">
        <v>14.5</v>
      </c>
      <c r="U31">
        <v>16.100000000000001</v>
      </c>
      <c r="V31">
        <v>14.8</v>
      </c>
      <c r="W31">
        <v>14.8</v>
      </c>
      <c r="X31">
        <v>16.8</v>
      </c>
      <c r="Y31">
        <v>14.6</v>
      </c>
    </row>
    <row r="32" spans="1:25" x14ac:dyDescent="0.25">
      <c r="A32">
        <v>16.7</v>
      </c>
      <c r="B32">
        <v>15.2</v>
      </c>
      <c r="C32">
        <v>16.3</v>
      </c>
      <c r="D32">
        <v>15.3</v>
      </c>
      <c r="E32">
        <v>16.3</v>
      </c>
      <c r="F32">
        <v>16</v>
      </c>
      <c r="G32">
        <v>15</v>
      </c>
      <c r="H32">
        <v>17.399999999999999</v>
      </c>
      <c r="I32">
        <v>14.7</v>
      </c>
      <c r="J32">
        <v>13.3</v>
      </c>
      <c r="K32">
        <v>15.3</v>
      </c>
      <c r="L32">
        <v>15.5</v>
      </c>
      <c r="M32">
        <v>15.9</v>
      </c>
      <c r="N32">
        <v>15.7</v>
      </c>
      <c r="O32">
        <v>16.7</v>
      </c>
      <c r="P32">
        <v>14.7</v>
      </c>
      <c r="Q32">
        <v>17</v>
      </c>
      <c r="R32">
        <v>14.4</v>
      </c>
      <c r="S32">
        <v>15.5</v>
      </c>
      <c r="T32">
        <v>15.2</v>
      </c>
      <c r="U32">
        <v>15.2</v>
      </c>
      <c r="V32">
        <v>14.8</v>
      </c>
      <c r="W32">
        <v>14.8</v>
      </c>
      <c r="X32">
        <v>15.9</v>
      </c>
      <c r="Y32">
        <v>15.5</v>
      </c>
    </row>
    <row r="33" spans="1:25" x14ac:dyDescent="0.25">
      <c r="A33">
        <v>15.6</v>
      </c>
      <c r="B33">
        <v>16</v>
      </c>
      <c r="C33">
        <v>16.8</v>
      </c>
      <c r="D33">
        <v>15.6</v>
      </c>
      <c r="E33">
        <v>15.9</v>
      </c>
      <c r="F33">
        <v>14.7</v>
      </c>
      <c r="G33">
        <v>16.3</v>
      </c>
      <c r="H33">
        <v>15.3</v>
      </c>
      <c r="I33">
        <v>15.8</v>
      </c>
      <c r="J33">
        <v>15.2</v>
      </c>
      <c r="K33">
        <v>15.6</v>
      </c>
      <c r="L33">
        <v>16.600000000000001</v>
      </c>
      <c r="M33">
        <v>16</v>
      </c>
      <c r="N33">
        <v>16.100000000000001</v>
      </c>
      <c r="O33">
        <v>15.2</v>
      </c>
      <c r="P33">
        <v>16</v>
      </c>
      <c r="Q33">
        <v>15.7</v>
      </c>
      <c r="R33">
        <v>15.2</v>
      </c>
      <c r="S33">
        <v>14.1</v>
      </c>
      <c r="T33">
        <v>15</v>
      </c>
      <c r="U33">
        <v>14.6</v>
      </c>
      <c r="V33">
        <v>14.7</v>
      </c>
      <c r="W33">
        <v>14.7</v>
      </c>
      <c r="X33">
        <v>16</v>
      </c>
      <c r="Y33">
        <v>15.8</v>
      </c>
    </row>
    <row r="34" spans="1:25" x14ac:dyDescent="0.25">
      <c r="A34">
        <v>16.7</v>
      </c>
      <c r="B34">
        <v>15</v>
      </c>
      <c r="C34">
        <v>16.5</v>
      </c>
      <c r="D34">
        <v>16</v>
      </c>
      <c r="E34">
        <v>15.9</v>
      </c>
      <c r="F34">
        <v>15.2</v>
      </c>
      <c r="G34">
        <v>16.5</v>
      </c>
      <c r="H34">
        <v>15.4</v>
      </c>
      <c r="I34">
        <v>15.7</v>
      </c>
      <c r="J34">
        <v>16.100000000000001</v>
      </c>
      <c r="K34">
        <v>15.5</v>
      </c>
      <c r="L34">
        <v>15.45</v>
      </c>
      <c r="M34">
        <v>14.6</v>
      </c>
      <c r="N34">
        <v>18.600000000000001</v>
      </c>
      <c r="O34">
        <v>15.8</v>
      </c>
      <c r="P34">
        <v>15.3</v>
      </c>
      <c r="Q34">
        <v>14.8</v>
      </c>
      <c r="R34">
        <v>14</v>
      </c>
      <c r="S34">
        <v>15.3</v>
      </c>
      <c r="T34">
        <v>14.98</v>
      </c>
      <c r="U34">
        <v>14.1</v>
      </c>
      <c r="V34">
        <v>14.8</v>
      </c>
      <c r="W34">
        <v>14.8</v>
      </c>
      <c r="X34">
        <v>14.6</v>
      </c>
      <c r="Y34">
        <v>15.8</v>
      </c>
    </row>
    <row r="35" spans="1:25" x14ac:dyDescent="0.25">
      <c r="A35">
        <v>16.600000000000001</v>
      </c>
      <c r="B35">
        <v>15.1</v>
      </c>
      <c r="C35">
        <v>15.9</v>
      </c>
      <c r="D35">
        <v>14.2</v>
      </c>
      <c r="E35">
        <v>15.6</v>
      </c>
      <c r="F35">
        <v>14.2</v>
      </c>
      <c r="G35">
        <v>15</v>
      </c>
      <c r="H35">
        <v>16.3</v>
      </c>
      <c r="I35">
        <v>15</v>
      </c>
      <c r="J35">
        <v>15.1</v>
      </c>
      <c r="K35">
        <v>15.4</v>
      </c>
      <c r="L35">
        <v>15.65</v>
      </c>
      <c r="M35">
        <v>14.8</v>
      </c>
      <c r="N35">
        <v>14.5</v>
      </c>
      <c r="O35">
        <v>15.8</v>
      </c>
      <c r="P35">
        <v>15.6</v>
      </c>
      <c r="Q35">
        <v>15.8</v>
      </c>
      <c r="R35">
        <v>14</v>
      </c>
      <c r="S35">
        <v>15.3</v>
      </c>
      <c r="T35">
        <v>15.06</v>
      </c>
      <c r="U35">
        <v>14.4</v>
      </c>
      <c r="V35">
        <v>15</v>
      </c>
      <c r="W35">
        <v>15</v>
      </c>
      <c r="X35">
        <v>14.8</v>
      </c>
      <c r="Y35">
        <v>14.7</v>
      </c>
    </row>
    <row r="36" spans="1:25" x14ac:dyDescent="0.25">
      <c r="A36">
        <v>15.4</v>
      </c>
      <c r="B36">
        <v>16.95</v>
      </c>
      <c r="C36">
        <v>15.3</v>
      </c>
      <c r="D36">
        <v>14.4</v>
      </c>
      <c r="E36">
        <v>16.3</v>
      </c>
      <c r="F36">
        <v>15.4</v>
      </c>
      <c r="G36">
        <v>15.9</v>
      </c>
      <c r="H36">
        <v>14.8</v>
      </c>
      <c r="I36">
        <v>15.4</v>
      </c>
      <c r="J36">
        <v>14.8</v>
      </c>
      <c r="K36">
        <v>15.8</v>
      </c>
      <c r="L36">
        <v>15.85</v>
      </c>
      <c r="M36">
        <v>15.3</v>
      </c>
      <c r="N36">
        <v>15</v>
      </c>
      <c r="O36">
        <v>15.4</v>
      </c>
      <c r="P36">
        <v>16.399999999999999</v>
      </c>
      <c r="Q36">
        <v>16.600000000000001</v>
      </c>
      <c r="R36">
        <v>14.5</v>
      </c>
      <c r="S36">
        <v>15.4</v>
      </c>
      <c r="T36">
        <v>14.66</v>
      </c>
      <c r="U36">
        <v>15.3</v>
      </c>
      <c r="V36">
        <v>14.7</v>
      </c>
      <c r="W36">
        <v>14.7</v>
      </c>
      <c r="X36">
        <v>15.3</v>
      </c>
      <c r="Y36">
        <v>14.6</v>
      </c>
    </row>
    <row r="37" spans="1:25" x14ac:dyDescent="0.25">
      <c r="A37">
        <v>15.1</v>
      </c>
      <c r="B37">
        <v>14.95</v>
      </c>
      <c r="C37">
        <v>15.3</v>
      </c>
      <c r="D37">
        <v>15.6</v>
      </c>
      <c r="E37">
        <v>15.2</v>
      </c>
      <c r="F37">
        <v>15.2</v>
      </c>
      <c r="G37">
        <v>16.7</v>
      </c>
      <c r="H37">
        <v>14.9</v>
      </c>
      <c r="I37">
        <v>15.5</v>
      </c>
      <c r="J37">
        <v>14.5</v>
      </c>
      <c r="K37">
        <v>15.8</v>
      </c>
      <c r="L37">
        <v>15.65</v>
      </c>
      <c r="M37">
        <v>14.9</v>
      </c>
      <c r="N37">
        <v>16.5</v>
      </c>
      <c r="O37">
        <v>16.899999999999999</v>
      </c>
      <c r="P37">
        <v>15.1</v>
      </c>
      <c r="Q37">
        <v>15.5</v>
      </c>
      <c r="R37">
        <v>14.5</v>
      </c>
      <c r="S37">
        <v>14.46</v>
      </c>
      <c r="T37">
        <v>15.22</v>
      </c>
      <c r="U37">
        <v>15.2</v>
      </c>
      <c r="V37">
        <v>14</v>
      </c>
      <c r="W37">
        <v>15</v>
      </c>
      <c r="X37">
        <v>14.9</v>
      </c>
      <c r="Y37">
        <v>15</v>
      </c>
    </row>
    <row r="38" spans="1:25" x14ac:dyDescent="0.25">
      <c r="A38">
        <v>15.5</v>
      </c>
      <c r="B38">
        <v>16.100000000000001</v>
      </c>
      <c r="C38">
        <v>15.5</v>
      </c>
      <c r="D38">
        <v>15</v>
      </c>
      <c r="E38">
        <v>14.9</v>
      </c>
      <c r="F38">
        <v>15.3</v>
      </c>
      <c r="G38">
        <v>15.6</v>
      </c>
      <c r="H38">
        <v>15.6</v>
      </c>
      <c r="I38">
        <v>15.9</v>
      </c>
      <c r="J38">
        <v>14.3</v>
      </c>
      <c r="K38">
        <v>16.3</v>
      </c>
      <c r="L38">
        <v>16</v>
      </c>
      <c r="M38">
        <v>14.7</v>
      </c>
      <c r="N38">
        <v>15.5</v>
      </c>
      <c r="O38">
        <v>16.600000000000001</v>
      </c>
      <c r="P38">
        <v>16.100000000000001</v>
      </c>
      <c r="Q38">
        <v>16.7</v>
      </c>
      <c r="R38">
        <v>14.2</v>
      </c>
      <c r="S38">
        <v>14.6</v>
      </c>
      <c r="T38">
        <v>14.32</v>
      </c>
      <c r="U38">
        <v>15.7</v>
      </c>
      <c r="V38">
        <v>14.7</v>
      </c>
      <c r="W38">
        <v>14.7</v>
      </c>
      <c r="X38">
        <v>14.7</v>
      </c>
      <c r="Y38">
        <v>14.9</v>
      </c>
    </row>
    <row r="39" spans="1:25" x14ac:dyDescent="0.25">
      <c r="A39">
        <v>15.4</v>
      </c>
      <c r="B39">
        <v>14.9</v>
      </c>
      <c r="C39">
        <v>15.9</v>
      </c>
      <c r="D39">
        <v>15</v>
      </c>
      <c r="E39">
        <v>14.8</v>
      </c>
      <c r="F39">
        <v>16.399999999999999</v>
      </c>
      <c r="G39">
        <v>15.2</v>
      </c>
      <c r="H39">
        <v>15.4</v>
      </c>
      <c r="I39">
        <v>15.9</v>
      </c>
      <c r="J39">
        <v>16.899999999999999</v>
      </c>
      <c r="K39">
        <v>15.9</v>
      </c>
      <c r="L39">
        <v>15.8</v>
      </c>
      <c r="M39">
        <v>14.9</v>
      </c>
      <c r="N39">
        <v>13.6</v>
      </c>
      <c r="O39">
        <v>15.2</v>
      </c>
      <c r="P39">
        <v>15.5</v>
      </c>
      <c r="Q39">
        <v>15.1</v>
      </c>
      <c r="R39">
        <v>16.600000000000001</v>
      </c>
      <c r="S39">
        <v>15</v>
      </c>
      <c r="T39">
        <v>16.260000000000002</v>
      </c>
      <c r="U39">
        <v>16.600000000000001</v>
      </c>
      <c r="V39">
        <v>15.3</v>
      </c>
      <c r="W39">
        <v>15.3</v>
      </c>
      <c r="X39">
        <v>14.9</v>
      </c>
      <c r="Y39">
        <v>17.3</v>
      </c>
    </row>
    <row r="40" spans="1:25" x14ac:dyDescent="0.25">
      <c r="A40">
        <v>15.7</v>
      </c>
      <c r="B40">
        <v>15.1</v>
      </c>
      <c r="C40">
        <v>14.9</v>
      </c>
      <c r="D40">
        <v>15.2</v>
      </c>
      <c r="E40">
        <v>14.9</v>
      </c>
      <c r="F40">
        <v>15</v>
      </c>
      <c r="G40">
        <v>15.4</v>
      </c>
      <c r="H40">
        <v>15.4</v>
      </c>
      <c r="I40">
        <v>16</v>
      </c>
      <c r="J40">
        <v>16.600000000000001</v>
      </c>
      <c r="K40">
        <v>16.7</v>
      </c>
      <c r="L40">
        <v>15.75</v>
      </c>
      <c r="M40">
        <v>15.3</v>
      </c>
      <c r="N40">
        <v>14.3</v>
      </c>
      <c r="O40">
        <v>15.2</v>
      </c>
      <c r="P40">
        <v>15.8</v>
      </c>
      <c r="Q40">
        <v>16.7</v>
      </c>
      <c r="R40">
        <v>14.3</v>
      </c>
      <c r="S40">
        <v>16.3</v>
      </c>
      <c r="T40">
        <v>16.5</v>
      </c>
      <c r="U40">
        <v>16.399999999999999</v>
      </c>
      <c r="V40">
        <v>16.2</v>
      </c>
      <c r="W40">
        <v>16.2</v>
      </c>
      <c r="X40">
        <v>15.3</v>
      </c>
      <c r="Y40">
        <v>14.5</v>
      </c>
    </row>
    <row r="41" spans="1:25" x14ac:dyDescent="0.25">
      <c r="A41">
        <v>15.8</v>
      </c>
      <c r="B41">
        <v>16</v>
      </c>
      <c r="C41">
        <v>15</v>
      </c>
      <c r="D41">
        <v>15.3</v>
      </c>
      <c r="E41">
        <v>15.3</v>
      </c>
      <c r="F41">
        <v>15.4</v>
      </c>
      <c r="G41">
        <v>16.100000000000001</v>
      </c>
      <c r="H41">
        <v>15</v>
      </c>
      <c r="I41">
        <v>15.3</v>
      </c>
      <c r="J41">
        <v>13.6</v>
      </c>
      <c r="K41">
        <v>15.8</v>
      </c>
      <c r="L41">
        <v>16.399999999999999</v>
      </c>
      <c r="M41">
        <v>15.6</v>
      </c>
      <c r="N41">
        <v>15.7</v>
      </c>
      <c r="O41">
        <v>15.9</v>
      </c>
      <c r="P41">
        <v>15.2</v>
      </c>
      <c r="Q41">
        <v>16</v>
      </c>
      <c r="R41">
        <v>15.3</v>
      </c>
      <c r="S41">
        <v>14.4</v>
      </c>
      <c r="T41">
        <v>14.6</v>
      </c>
      <c r="U41">
        <v>16.7</v>
      </c>
      <c r="V41">
        <v>15.5</v>
      </c>
      <c r="W41">
        <v>15.5</v>
      </c>
      <c r="X41">
        <v>15.6</v>
      </c>
      <c r="Y41">
        <v>14.6</v>
      </c>
    </row>
    <row r="42" spans="1:25" x14ac:dyDescent="0.25">
      <c r="A42">
        <v>15.7</v>
      </c>
      <c r="B42">
        <v>15.1</v>
      </c>
      <c r="C42">
        <v>15.1</v>
      </c>
      <c r="D42">
        <v>14.2</v>
      </c>
      <c r="E42">
        <v>15.12</v>
      </c>
      <c r="F42">
        <v>15.1</v>
      </c>
      <c r="G42">
        <v>15.8</v>
      </c>
      <c r="H42">
        <v>15.2</v>
      </c>
      <c r="I42">
        <v>15.2</v>
      </c>
      <c r="J42">
        <v>14.7</v>
      </c>
      <c r="K42">
        <v>15.4</v>
      </c>
      <c r="L42">
        <v>15.8</v>
      </c>
      <c r="M42">
        <v>15.6</v>
      </c>
      <c r="N42">
        <v>15.6</v>
      </c>
      <c r="O42">
        <v>15.8</v>
      </c>
      <c r="P42">
        <v>16.5</v>
      </c>
      <c r="Q42">
        <v>16.3</v>
      </c>
      <c r="R42">
        <v>16.899999999999999</v>
      </c>
      <c r="S42">
        <v>16.5</v>
      </c>
      <c r="T42">
        <v>13.8</v>
      </c>
      <c r="U42">
        <v>14.8</v>
      </c>
      <c r="V42">
        <v>15.4</v>
      </c>
      <c r="W42">
        <v>15.4</v>
      </c>
      <c r="X42">
        <v>15.6</v>
      </c>
      <c r="Y42">
        <v>15.6</v>
      </c>
    </row>
    <row r="43" spans="1:25" x14ac:dyDescent="0.25">
      <c r="A43">
        <v>15.4</v>
      </c>
      <c r="B43">
        <v>15.4</v>
      </c>
      <c r="C43">
        <v>14.9</v>
      </c>
      <c r="D43">
        <v>15.3</v>
      </c>
      <c r="E43">
        <v>14.4</v>
      </c>
      <c r="F43">
        <v>14</v>
      </c>
      <c r="G43">
        <v>15.5</v>
      </c>
      <c r="H43">
        <v>15.4</v>
      </c>
      <c r="I43">
        <v>15.5</v>
      </c>
      <c r="J43">
        <v>15.6</v>
      </c>
      <c r="K43">
        <v>15.7</v>
      </c>
      <c r="L43">
        <v>14.2</v>
      </c>
      <c r="M43">
        <v>14.7</v>
      </c>
      <c r="N43">
        <v>15.4</v>
      </c>
      <c r="O43">
        <v>15.9</v>
      </c>
      <c r="P43">
        <v>15</v>
      </c>
      <c r="Q43">
        <v>15.5</v>
      </c>
      <c r="R43">
        <v>16.2</v>
      </c>
      <c r="S43">
        <v>16.2</v>
      </c>
      <c r="T43">
        <v>15.1</v>
      </c>
      <c r="U43">
        <v>15.1</v>
      </c>
      <c r="V43">
        <v>16.399999999999999</v>
      </c>
      <c r="W43">
        <v>16.399999999999999</v>
      </c>
      <c r="X43">
        <v>15.7</v>
      </c>
      <c r="Y43">
        <v>15.9</v>
      </c>
    </row>
    <row r="44" spans="1:25" x14ac:dyDescent="0.25">
      <c r="A44">
        <v>14.6</v>
      </c>
      <c r="B44">
        <v>15.6</v>
      </c>
      <c r="C44">
        <v>14.9</v>
      </c>
      <c r="D44">
        <v>15</v>
      </c>
      <c r="E44">
        <v>15.5</v>
      </c>
      <c r="F44">
        <v>14.3</v>
      </c>
      <c r="G44">
        <v>15.6</v>
      </c>
      <c r="H44">
        <v>15.7</v>
      </c>
      <c r="I44">
        <v>13.5</v>
      </c>
      <c r="J44">
        <v>16</v>
      </c>
      <c r="K44">
        <v>15.6</v>
      </c>
      <c r="L44">
        <v>14.8</v>
      </c>
      <c r="M44">
        <v>13.05</v>
      </c>
      <c r="N44">
        <v>15.1</v>
      </c>
      <c r="O44">
        <v>15.9</v>
      </c>
      <c r="P44">
        <v>15.9</v>
      </c>
      <c r="Q44">
        <v>14.7</v>
      </c>
      <c r="R44">
        <v>15.2</v>
      </c>
      <c r="S44">
        <v>15.1</v>
      </c>
      <c r="T44">
        <v>14.7</v>
      </c>
      <c r="U44">
        <v>14.6</v>
      </c>
      <c r="V44">
        <v>16.2</v>
      </c>
      <c r="W44">
        <v>16.2</v>
      </c>
      <c r="X44">
        <v>13.05</v>
      </c>
      <c r="Y44">
        <v>15.5</v>
      </c>
    </row>
    <row r="45" spans="1:25" x14ac:dyDescent="0.25">
      <c r="A45">
        <v>14.8</v>
      </c>
      <c r="B45">
        <v>15.4</v>
      </c>
      <c r="C45">
        <v>14.4</v>
      </c>
      <c r="D45">
        <v>16</v>
      </c>
      <c r="E45">
        <v>15.4</v>
      </c>
      <c r="F45">
        <v>14.7</v>
      </c>
      <c r="G45">
        <v>16.5</v>
      </c>
      <c r="H45">
        <v>15.24</v>
      </c>
      <c r="I45">
        <v>14.5</v>
      </c>
      <c r="J45">
        <v>15</v>
      </c>
      <c r="K45">
        <v>15.8</v>
      </c>
      <c r="L45">
        <v>15.1</v>
      </c>
      <c r="M45">
        <v>15.3</v>
      </c>
      <c r="N45">
        <v>14.9</v>
      </c>
      <c r="O45">
        <v>15.4</v>
      </c>
      <c r="P45">
        <v>15.5</v>
      </c>
      <c r="Q45">
        <v>15.5</v>
      </c>
      <c r="R45">
        <v>15.4</v>
      </c>
      <c r="S45">
        <v>15.6</v>
      </c>
      <c r="T45">
        <v>16.100000000000001</v>
      </c>
      <c r="U45">
        <v>14.1</v>
      </c>
      <c r="V45">
        <v>15.7</v>
      </c>
      <c r="W45">
        <v>15.7</v>
      </c>
      <c r="X45">
        <v>15.3</v>
      </c>
      <c r="Y45">
        <v>14.5</v>
      </c>
    </row>
    <row r="46" spans="1:25" x14ac:dyDescent="0.25">
      <c r="A46">
        <v>15.7</v>
      </c>
      <c r="B46">
        <v>15.3</v>
      </c>
      <c r="C46">
        <v>16.5</v>
      </c>
      <c r="D46">
        <v>16.100000000000001</v>
      </c>
      <c r="E46">
        <v>16</v>
      </c>
      <c r="F46">
        <v>16.100000000000001</v>
      </c>
      <c r="G46">
        <v>14.3</v>
      </c>
      <c r="H46">
        <v>14.9</v>
      </c>
      <c r="I46">
        <v>14.6</v>
      </c>
      <c r="J46">
        <v>14.5</v>
      </c>
      <c r="K46">
        <v>15.2</v>
      </c>
      <c r="L46">
        <v>15.6</v>
      </c>
      <c r="M46">
        <v>16.100000000000001</v>
      </c>
      <c r="N46">
        <v>15.3</v>
      </c>
      <c r="O46">
        <v>15.7</v>
      </c>
      <c r="P46">
        <v>14.6</v>
      </c>
      <c r="Q46">
        <v>16.600000000000001</v>
      </c>
      <c r="R46">
        <v>14.6</v>
      </c>
      <c r="S46">
        <v>15.1</v>
      </c>
      <c r="T46">
        <v>15.48</v>
      </c>
      <c r="U46">
        <v>14.6</v>
      </c>
      <c r="V46">
        <v>14.9</v>
      </c>
      <c r="W46">
        <v>14.9</v>
      </c>
      <c r="X46">
        <v>16.100000000000001</v>
      </c>
      <c r="Y46">
        <v>14.6</v>
      </c>
    </row>
    <row r="47" spans="1:25" x14ac:dyDescent="0.25">
      <c r="A47">
        <v>16.3</v>
      </c>
      <c r="B47">
        <v>15.3</v>
      </c>
      <c r="C47">
        <v>16.3</v>
      </c>
      <c r="D47">
        <v>15.7</v>
      </c>
      <c r="E47">
        <v>16.7</v>
      </c>
      <c r="F47">
        <v>16</v>
      </c>
      <c r="G47">
        <v>14.7</v>
      </c>
      <c r="H47">
        <v>17.25</v>
      </c>
      <c r="I47">
        <v>14.35</v>
      </c>
      <c r="J47">
        <v>14</v>
      </c>
      <c r="K47">
        <v>14.7</v>
      </c>
      <c r="L47">
        <v>15.8</v>
      </c>
      <c r="M47">
        <v>15.7</v>
      </c>
      <c r="N47">
        <v>14.6</v>
      </c>
      <c r="O47">
        <v>15.6</v>
      </c>
      <c r="P47">
        <v>15.3</v>
      </c>
      <c r="Q47">
        <v>17</v>
      </c>
      <c r="R47">
        <v>14.5</v>
      </c>
      <c r="S47">
        <v>15.65</v>
      </c>
      <c r="T47">
        <v>14.82</v>
      </c>
      <c r="U47">
        <v>13.9</v>
      </c>
      <c r="V47">
        <v>15.2</v>
      </c>
      <c r="W47">
        <v>15.2</v>
      </c>
      <c r="X47">
        <v>15.7</v>
      </c>
      <c r="Y47">
        <v>15</v>
      </c>
    </row>
    <row r="48" spans="1:25" x14ac:dyDescent="0.25">
      <c r="A48">
        <v>15.6</v>
      </c>
      <c r="B48">
        <v>16.2</v>
      </c>
      <c r="C48">
        <v>16.600000000000001</v>
      </c>
      <c r="D48">
        <v>15.3</v>
      </c>
      <c r="E48">
        <v>16</v>
      </c>
      <c r="F48">
        <v>14.8</v>
      </c>
      <c r="G48">
        <v>14.4</v>
      </c>
      <c r="H48">
        <v>15.4</v>
      </c>
      <c r="I48">
        <v>16.600000000000001</v>
      </c>
      <c r="J48">
        <v>14.9</v>
      </c>
      <c r="K48">
        <v>15.2</v>
      </c>
      <c r="L48">
        <v>16.399999999999999</v>
      </c>
      <c r="M48">
        <v>15.4</v>
      </c>
      <c r="N48">
        <v>16.100000000000001</v>
      </c>
      <c r="O48">
        <v>15.5</v>
      </c>
      <c r="P48">
        <v>16.5</v>
      </c>
      <c r="Q48">
        <v>15.4</v>
      </c>
      <c r="R48">
        <v>14.24</v>
      </c>
      <c r="S48">
        <v>14.1</v>
      </c>
      <c r="T48">
        <v>14.88</v>
      </c>
      <c r="U48">
        <v>13.6</v>
      </c>
      <c r="V48">
        <v>14.8</v>
      </c>
      <c r="W48">
        <v>15.8</v>
      </c>
      <c r="X48">
        <v>15.4</v>
      </c>
      <c r="Y48">
        <v>14.5</v>
      </c>
    </row>
    <row r="49" spans="1:25" x14ac:dyDescent="0.25">
      <c r="A49">
        <v>16.600000000000001</v>
      </c>
      <c r="B49">
        <v>15.1</v>
      </c>
      <c r="C49">
        <v>16.8</v>
      </c>
      <c r="D49">
        <v>15.7</v>
      </c>
      <c r="E49">
        <v>16.3</v>
      </c>
      <c r="F49">
        <v>13.5</v>
      </c>
      <c r="G49">
        <v>16.7</v>
      </c>
      <c r="H49">
        <v>15.4</v>
      </c>
      <c r="I49">
        <v>14.6</v>
      </c>
      <c r="J49">
        <v>15.1</v>
      </c>
      <c r="K49">
        <v>15.55</v>
      </c>
      <c r="L49">
        <v>16.010000000000002</v>
      </c>
      <c r="M49">
        <v>14.6</v>
      </c>
      <c r="N49">
        <v>14.1</v>
      </c>
      <c r="O49">
        <v>15.6</v>
      </c>
      <c r="P49">
        <v>14.8</v>
      </c>
      <c r="Q49">
        <v>15.6</v>
      </c>
      <c r="R49">
        <v>14.2</v>
      </c>
      <c r="S49">
        <v>15.6</v>
      </c>
      <c r="T49">
        <v>15</v>
      </c>
      <c r="U49">
        <v>14.8</v>
      </c>
      <c r="V49">
        <v>14.8</v>
      </c>
      <c r="W49">
        <v>14.8</v>
      </c>
      <c r="X49">
        <v>14.6</v>
      </c>
      <c r="Y49">
        <v>14.4</v>
      </c>
    </row>
    <row r="50" spans="1:25" x14ac:dyDescent="0.25">
      <c r="A50">
        <v>16.600000000000001</v>
      </c>
      <c r="B50">
        <v>13.6</v>
      </c>
      <c r="C50">
        <v>15.7</v>
      </c>
      <c r="D50">
        <v>14.2</v>
      </c>
      <c r="E50">
        <v>15.5</v>
      </c>
      <c r="F50">
        <v>14.3</v>
      </c>
      <c r="G50">
        <v>14.9</v>
      </c>
      <c r="H50">
        <v>15.1</v>
      </c>
      <c r="I50">
        <v>15</v>
      </c>
      <c r="J50">
        <v>14.8</v>
      </c>
      <c r="K50">
        <v>16.5</v>
      </c>
      <c r="L50">
        <v>15.55</v>
      </c>
      <c r="M50">
        <v>15.1</v>
      </c>
      <c r="N50">
        <v>15.2</v>
      </c>
      <c r="O50">
        <v>16.2</v>
      </c>
      <c r="P50">
        <v>14.8</v>
      </c>
      <c r="Q50">
        <v>16.600000000000001</v>
      </c>
      <c r="R50">
        <v>13.5</v>
      </c>
      <c r="S50">
        <v>15.1</v>
      </c>
      <c r="T50">
        <v>14.86</v>
      </c>
      <c r="U50">
        <v>15.7</v>
      </c>
      <c r="V50">
        <v>15</v>
      </c>
      <c r="W50">
        <v>15</v>
      </c>
      <c r="X50">
        <v>15.1</v>
      </c>
      <c r="Y50">
        <v>15.4</v>
      </c>
    </row>
    <row r="51" spans="1:25" x14ac:dyDescent="0.25">
      <c r="A51">
        <v>15.7</v>
      </c>
      <c r="B51">
        <v>15.95</v>
      </c>
      <c r="C51">
        <v>15.4</v>
      </c>
      <c r="D51">
        <v>14.1</v>
      </c>
      <c r="E51">
        <v>15.7</v>
      </c>
      <c r="F51">
        <v>15.2</v>
      </c>
      <c r="G51">
        <v>15</v>
      </c>
      <c r="H51">
        <v>14.95</v>
      </c>
      <c r="I51">
        <v>15.2</v>
      </c>
      <c r="J51">
        <v>14.3</v>
      </c>
      <c r="K51">
        <v>15.8</v>
      </c>
      <c r="L51">
        <v>16.2</v>
      </c>
      <c r="M51">
        <v>15.2</v>
      </c>
      <c r="N51">
        <v>15</v>
      </c>
      <c r="O51">
        <v>15.9</v>
      </c>
      <c r="P51">
        <v>15.3</v>
      </c>
      <c r="Q51">
        <v>16.899999999999999</v>
      </c>
      <c r="R51">
        <v>14.6</v>
      </c>
      <c r="S51">
        <v>14.8</v>
      </c>
      <c r="T51">
        <v>14.44</v>
      </c>
      <c r="U51">
        <v>16.600000000000001</v>
      </c>
      <c r="V51">
        <v>14.6</v>
      </c>
      <c r="W51">
        <v>14.6</v>
      </c>
      <c r="X51">
        <v>15.2</v>
      </c>
      <c r="Y51">
        <v>15.9</v>
      </c>
    </row>
    <row r="52" spans="1:25" x14ac:dyDescent="0.25">
      <c r="A52">
        <v>15.8</v>
      </c>
      <c r="B52">
        <v>15.5</v>
      </c>
      <c r="C52">
        <v>16</v>
      </c>
      <c r="D52">
        <v>13.4</v>
      </c>
      <c r="E52">
        <v>17.2</v>
      </c>
      <c r="F52">
        <v>15.1</v>
      </c>
      <c r="G52">
        <v>16.8</v>
      </c>
      <c r="H52">
        <v>15</v>
      </c>
      <c r="I52">
        <v>15.4</v>
      </c>
      <c r="J52">
        <v>14.7</v>
      </c>
      <c r="K52">
        <v>15.8</v>
      </c>
      <c r="L52">
        <v>15.75</v>
      </c>
      <c r="M52">
        <v>14.8</v>
      </c>
      <c r="N52">
        <v>17</v>
      </c>
      <c r="O52">
        <v>16.600000000000001</v>
      </c>
      <c r="P52">
        <v>14.7</v>
      </c>
      <c r="Q52">
        <v>15.6</v>
      </c>
      <c r="R52">
        <v>14.3</v>
      </c>
      <c r="S52">
        <v>15.6</v>
      </c>
      <c r="T52">
        <v>15.98</v>
      </c>
      <c r="U52">
        <v>13.4</v>
      </c>
      <c r="V52">
        <v>14.6</v>
      </c>
      <c r="W52">
        <v>14.6</v>
      </c>
      <c r="X52">
        <v>14.8</v>
      </c>
      <c r="Y52">
        <v>14.7</v>
      </c>
    </row>
    <row r="53" spans="1:25" x14ac:dyDescent="0.25">
      <c r="A53">
        <v>15.3</v>
      </c>
      <c r="B53">
        <v>16.05</v>
      </c>
      <c r="C53">
        <v>15.7</v>
      </c>
      <c r="D53">
        <v>15</v>
      </c>
      <c r="E53">
        <v>16.899999999999999</v>
      </c>
      <c r="F53">
        <v>15.5</v>
      </c>
      <c r="G53">
        <v>15.6</v>
      </c>
      <c r="H53">
        <v>15.6</v>
      </c>
      <c r="I53">
        <v>15.5</v>
      </c>
      <c r="J53">
        <v>14.2</v>
      </c>
      <c r="K53">
        <v>16.2</v>
      </c>
      <c r="L53">
        <v>15.95</v>
      </c>
      <c r="M53">
        <v>15.1</v>
      </c>
      <c r="N53">
        <v>15</v>
      </c>
      <c r="O53">
        <v>15.9</v>
      </c>
      <c r="P53">
        <v>16.100000000000001</v>
      </c>
      <c r="Q53">
        <v>15.8</v>
      </c>
      <c r="R53">
        <v>14.9</v>
      </c>
      <c r="S53">
        <v>15.1</v>
      </c>
      <c r="T53">
        <v>17.3</v>
      </c>
      <c r="U53">
        <v>16.899999999999999</v>
      </c>
      <c r="V53">
        <v>14.8</v>
      </c>
      <c r="W53">
        <v>14.8</v>
      </c>
      <c r="X53">
        <v>15.1</v>
      </c>
      <c r="Y53">
        <v>14.7</v>
      </c>
    </row>
    <row r="54" spans="1:25" x14ac:dyDescent="0.25">
      <c r="A54">
        <v>15.2</v>
      </c>
      <c r="B54">
        <v>14.9</v>
      </c>
      <c r="C54">
        <v>14.9</v>
      </c>
      <c r="D54">
        <v>14.6</v>
      </c>
      <c r="E54">
        <v>15.4</v>
      </c>
      <c r="F54">
        <v>16.399999999999999</v>
      </c>
      <c r="G54">
        <v>14.7</v>
      </c>
      <c r="H54">
        <v>15</v>
      </c>
      <c r="I54">
        <v>16.100000000000001</v>
      </c>
      <c r="J54">
        <v>16.100000000000001</v>
      </c>
      <c r="K54">
        <v>16</v>
      </c>
      <c r="L54">
        <v>16</v>
      </c>
      <c r="M54">
        <v>14.9</v>
      </c>
      <c r="N54">
        <v>14.1</v>
      </c>
      <c r="O54">
        <v>16.5</v>
      </c>
      <c r="P54">
        <v>14.8</v>
      </c>
      <c r="Q54">
        <v>15.8</v>
      </c>
      <c r="R54">
        <v>15.6</v>
      </c>
      <c r="S54">
        <v>16.2</v>
      </c>
      <c r="T54">
        <v>16.68</v>
      </c>
      <c r="U54">
        <v>16.3</v>
      </c>
      <c r="V54">
        <v>15.2</v>
      </c>
      <c r="W54">
        <v>15.2</v>
      </c>
      <c r="X54">
        <v>14.9</v>
      </c>
      <c r="Y54">
        <v>15.6</v>
      </c>
    </row>
    <row r="55" spans="1:25" x14ac:dyDescent="0.25">
      <c r="A55">
        <v>15.7</v>
      </c>
      <c r="B55">
        <v>15.05</v>
      </c>
      <c r="C55">
        <v>15.4</v>
      </c>
      <c r="D55">
        <v>14.5</v>
      </c>
      <c r="E55">
        <v>15.4</v>
      </c>
      <c r="F55">
        <v>14.8</v>
      </c>
      <c r="G55">
        <v>16.7</v>
      </c>
      <c r="H55">
        <v>15.4</v>
      </c>
      <c r="I55">
        <v>16.3</v>
      </c>
      <c r="J55">
        <v>15.1</v>
      </c>
      <c r="K55">
        <v>14.6</v>
      </c>
      <c r="L55">
        <v>15.7</v>
      </c>
      <c r="M55">
        <v>15.3</v>
      </c>
      <c r="N55">
        <v>14.2</v>
      </c>
      <c r="O55">
        <v>16</v>
      </c>
      <c r="P55">
        <v>14.1</v>
      </c>
      <c r="Q55">
        <v>16.2</v>
      </c>
      <c r="R55">
        <v>14.3</v>
      </c>
      <c r="S55">
        <v>16.3</v>
      </c>
      <c r="T55">
        <v>15.9</v>
      </c>
      <c r="U55">
        <v>14.7</v>
      </c>
      <c r="V55">
        <v>16</v>
      </c>
      <c r="W55">
        <v>16</v>
      </c>
      <c r="X55">
        <v>15.3</v>
      </c>
      <c r="Y55">
        <v>15.8</v>
      </c>
    </row>
    <row r="56" spans="1:25" x14ac:dyDescent="0.25">
      <c r="A56">
        <v>16.7</v>
      </c>
      <c r="B56">
        <v>15.6</v>
      </c>
      <c r="C56">
        <v>15.3</v>
      </c>
      <c r="D56">
        <v>15</v>
      </c>
      <c r="E56">
        <v>15.8</v>
      </c>
      <c r="F56">
        <v>15.1</v>
      </c>
      <c r="G56">
        <v>15.8</v>
      </c>
      <c r="H56">
        <v>15</v>
      </c>
      <c r="I56">
        <v>15.1</v>
      </c>
      <c r="J56">
        <v>16.3</v>
      </c>
      <c r="K56">
        <v>14.9</v>
      </c>
      <c r="L56">
        <v>16.7</v>
      </c>
      <c r="M56">
        <v>13.5</v>
      </c>
      <c r="N56">
        <v>15.8</v>
      </c>
      <c r="O56">
        <v>14.7</v>
      </c>
      <c r="P56">
        <v>14.5</v>
      </c>
      <c r="Q56">
        <v>16.100000000000001</v>
      </c>
      <c r="R56">
        <v>15.5</v>
      </c>
      <c r="S56">
        <v>16.399999999999999</v>
      </c>
      <c r="T56">
        <v>14.7</v>
      </c>
      <c r="U56">
        <v>15.5</v>
      </c>
      <c r="V56">
        <v>15.1</v>
      </c>
      <c r="W56">
        <v>15.1</v>
      </c>
      <c r="X56">
        <v>13.5</v>
      </c>
    </row>
    <row r="57" spans="1:25" x14ac:dyDescent="0.25">
      <c r="A57">
        <v>15.3</v>
      </c>
      <c r="B57">
        <v>15.75</v>
      </c>
      <c r="C57">
        <v>15.2</v>
      </c>
      <c r="D57">
        <v>14.2</v>
      </c>
      <c r="E57">
        <v>15.7</v>
      </c>
      <c r="F57">
        <v>15.3</v>
      </c>
      <c r="G57">
        <v>15.5</v>
      </c>
      <c r="H57">
        <v>15.3</v>
      </c>
      <c r="I57">
        <v>15.3</v>
      </c>
      <c r="J57">
        <v>15.1</v>
      </c>
      <c r="K57">
        <v>15.4</v>
      </c>
      <c r="L57">
        <v>15.3</v>
      </c>
      <c r="M57">
        <v>15.7</v>
      </c>
      <c r="N57">
        <v>15.4</v>
      </c>
      <c r="O57">
        <v>15.9</v>
      </c>
      <c r="P57">
        <v>15.7</v>
      </c>
      <c r="Q57">
        <v>16.399999999999999</v>
      </c>
      <c r="R57">
        <v>16.399999999999999</v>
      </c>
      <c r="S57">
        <v>14.9</v>
      </c>
      <c r="T57">
        <v>14.4</v>
      </c>
      <c r="U57">
        <v>15.7</v>
      </c>
      <c r="V57">
        <v>16</v>
      </c>
      <c r="W57">
        <v>16</v>
      </c>
      <c r="X57">
        <v>15.7</v>
      </c>
    </row>
    <row r="58" spans="1:25" x14ac:dyDescent="0.25">
      <c r="A58">
        <v>15.9</v>
      </c>
      <c r="B58">
        <v>15.5</v>
      </c>
      <c r="C58">
        <v>14.9</v>
      </c>
      <c r="D58">
        <v>14.9</v>
      </c>
      <c r="E58">
        <v>15.4</v>
      </c>
      <c r="F58">
        <v>14.9</v>
      </c>
      <c r="G58">
        <v>15.5</v>
      </c>
      <c r="H58">
        <v>15.3</v>
      </c>
      <c r="I58">
        <v>14.7</v>
      </c>
      <c r="J58">
        <v>15.9</v>
      </c>
      <c r="K58">
        <v>15.9</v>
      </c>
      <c r="L58">
        <v>15.3</v>
      </c>
      <c r="M58">
        <v>14.4</v>
      </c>
      <c r="N58">
        <v>15.4</v>
      </c>
      <c r="O58">
        <v>17.399999999999999</v>
      </c>
      <c r="P58">
        <v>14.4</v>
      </c>
      <c r="Q58">
        <v>15.1</v>
      </c>
      <c r="R58">
        <v>14.2</v>
      </c>
      <c r="S58">
        <v>15.8</v>
      </c>
      <c r="T58">
        <v>15.1</v>
      </c>
      <c r="U58">
        <v>14.8</v>
      </c>
      <c r="V58">
        <v>15.75</v>
      </c>
      <c r="W58">
        <v>15.75</v>
      </c>
      <c r="X58">
        <v>14.4</v>
      </c>
    </row>
    <row r="59" spans="1:25" x14ac:dyDescent="0.25">
      <c r="A59">
        <v>14.6</v>
      </c>
      <c r="B59">
        <v>16.3</v>
      </c>
      <c r="C59">
        <v>14.7</v>
      </c>
      <c r="D59">
        <v>14.7</v>
      </c>
      <c r="E59">
        <v>16.3</v>
      </c>
      <c r="F59">
        <v>14.14</v>
      </c>
      <c r="G59">
        <v>15.9</v>
      </c>
      <c r="H59">
        <v>15.9</v>
      </c>
      <c r="I59">
        <v>14.15</v>
      </c>
      <c r="J59">
        <v>16.399999999999999</v>
      </c>
      <c r="K59">
        <v>15.5</v>
      </c>
      <c r="L59">
        <v>15.5</v>
      </c>
      <c r="M59">
        <v>14.1</v>
      </c>
      <c r="N59">
        <v>15.5</v>
      </c>
      <c r="O59">
        <v>14.9</v>
      </c>
      <c r="P59">
        <v>14.7</v>
      </c>
      <c r="Q59">
        <v>15</v>
      </c>
      <c r="R59">
        <v>14.6</v>
      </c>
      <c r="S59">
        <v>15.7</v>
      </c>
      <c r="T59">
        <v>14.3</v>
      </c>
      <c r="U59">
        <v>14.6</v>
      </c>
      <c r="V59">
        <v>14.8</v>
      </c>
      <c r="W59">
        <v>14.8</v>
      </c>
      <c r="X59">
        <v>15.1</v>
      </c>
    </row>
    <row r="60" spans="1:25" x14ac:dyDescent="0.25">
      <c r="A60">
        <v>15.7</v>
      </c>
      <c r="B60">
        <v>16</v>
      </c>
      <c r="C60">
        <v>14.9</v>
      </c>
      <c r="D60">
        <v>16</v>
      </c>
      <c r="E60">
        <v>14.18</v>
      </c>
      <c r="F60">
        <v>14.5</v>
      </c>
      <c r="G60">
        <v>15.1</v>
      </c>
      <c r="H60">
        <v>15.3</v>
      </c>
      <c r="I60">
        <v>14.9</v>
      </c>
      <c r="J60">
        <v>16</v>
      </c>
      <c r="K60">
        <v>14.9</v>
      </c>
      <c r="L60">
        <v>14.3</v>
      </c>
      <c r="M60">
        <v>14.8</v>
      </c>
      <c r="N60">
        <v>15.2</v>
      </c>
      <c r="O60">
        <v>14.7</v>
      </c>
      <c r="P60">
        <v>15.8</v>
      </c>
      <c r="Q60">
        <v>15.2</v>
      </c>
      <c r="R60">
        <v>15.6</v>
      </c>
      <c r="S60">
        <v>15</v>
      </c>
      <c r="T60">
        <v>16.100000000000001</v>
      </c>
      <c r="U60">
        <v>14.6</v>
      </c>
      <c r="V60">
        <v>14.4</v>
      </c>
      <c r="W60">
        <v>14.4</v>
      </c>
      <c r="X60">
        <v>14.8</v>
      </c>
    </row>
    <row r="61" spans="1:25" x14ac:dyDescent="0.25">
      <c r="A61">
        <v>15.6</v>
      </c>
      <c r="B61">
        <v>15</v>
      </c>
      <c r="C61">
        <v>16.399999999999999</v>
      </c>
      <c r="D61">
        <v>14.1</v>
      </c>
      <c r="E61">
        <v>16.2</v>
      </c>
      <c r="F61">
        <v>15.4</v>
      </c>
      <c r="G61">
        <v>15.2</v>
      </c>
      <c r="H61">
        <v>14.95</v>
      </c>
      <c r="I61">
        <v>15.25</v>
      </c>
      <c r="J61">
        <v>14.2</v>
      </c>
      <c r="K61">
        <v>15</v>
      </c>
      <c r="L61">
        <v>17</v>
      </c>
      <c r="M61">
        <v>16.3</v>
      </c>
      <c r="N61">
        <v>14.1</v>
      </c>
      <c r="O61">
        <v>14.8</v>
      </c>
      <c r="P61">
        <v>14.5</v>
      </c>
      <c r="Q61">
        <v>16.2</v>
      </c>
      <c r="R61">
        <v>13.8</v>
      </c>
      <c r="S61">
        <v>15.2</v>
      </c>
      <c r="T61">
        <v>15.2</v>
      </c>
      <c r="U61">
        <v>14.58</v>
      </c>
      <c r="V61">
        <v>14.8</v>
      </c>
      <c r="W61">
        <v>14.8</v>
      </c>
      <c r="X61">
        <v>16.3</v>
      </c>
    </row>
    <row r="62" spans="1:25" x14ac:dyDescent="0.25">
      <c r="A62">
        <v>17.7</v>
      </c>
      <c r="B62">
        <v>15.4</v>
      </c>
      <c r="C62">
        <v>16.3</v>
      </c>
      <c r="D62">
        <v>15.7</v>
      </c>
      <c r="E62">
        <v>15.9</v>
      </c>
      <c r="F62">
        <v>15.3</v>
      </c>
      <c r="G62">
        <v>15.2</v>
      </c>
      <c r="H62">
        <v>13.55</v>
      </c>
      <c r="I62">
        <v>14.15</v>
      </c>
      <c r="J62">
        <v>14.05</v>
      </c>
      <c r="K62">
        <v>15.5</v>
      </c>
      <c r="L62">
        <v>15.8</v>
      </c>
      <c r="M62">
        <v>15.4</v>
      </c>
      <c r="N62">
        <v>14.7</v>
      </c>
      <c r="O62">
        <v>14.5</v>
      </c>
      <c r="P62">
        <v>15.7</v>
      </c>
      <c r="Q62">
        <v>16.399999999999999</v>
      </c>
      <c r="R62">
        <v>15.5</v>
      </c>
      <c r="S62">
        <v>15.65</v>
      </c>
      <c r="T62">
        <v>14.94</v>
      </c>
      <c r="U62">
        <v>14.4</v>
      </c>
      <c r="V62">
        <v>14.8</v>
      </c>
      <c r="W62">
        <v>14.8</v>
      </c>
      <c r="X62">
        <v>15.4</v>
      </c>
    </row>
    <row r="63" spans="1:25" x14ac:dyDescent="0.25">
      <c r="A63">
        <v>15.6</v>
      </c>
      <c r="B63">
        <v>16.100000000000001</v>
      </c>
      <c r="C63">
        <v>17</v>
      </c>
      <c r="D63">
        <v>15.4</v>
      </c>
      <c r="E63">
        <v>16.8</v>
      </c>
      <c r="F63">
        <v>15.1</v>
      </c>
      <c r="G63">
        <v>14.7</v>
      </c>
      <c r="H63">
        <v>18.399999999999999</v>
      </c>
      <c r="I63">
        <v>15.9</v>
      </c>
      <c r="J63">
        <v>15.6</v>
      </c>
      <c r="K63">
        <v>15.3</v>
      </c>
      <c r="L63">
        <v>16.3</v>
      </c>
      <c r="M63">
        <v>17.399999999999999</v>
      </c>
      <c r="N63">
        <v>15.5</v>
      </c>
      <c r="O63">
        <v>14.7</v>
      </c>
      <c r="P63">
        <v>14.7</v>
      </c>
      <c r="Q63">
        <v>17.399999999999999</v>
      </c>
      <c r="R63">
        <v>15.9</v>
      </c>
      <c r="S63">
        <v>13.9</v>
      </c>
      <c r="T63">
        <v>15.3</v>
      </c>
      <c r="U63">
        <v>14.9</v>
      </c>
      <c r="V63">
        <v>14.6</v>
      </c>
      <c r="W63">
        <v>14.6</v>
      </c>
      <c r="X63">
        <v>17.399999999999999</v>
      </c>
    </row>
    <row r="64" spans="1:25" x14ac:dyDescent="0.25">
      <c r="A64">
        <v>16.3</v>
      </c>
      <c r="B64">
        <v>15</v>
      </c>
      <c r="C64">
        <v>16.7</v>
      </c>
      <c r="D64">
        <v>15.6</v>
      </c>
      <c r="E64">
        <v>15.3</v>
      </c>
      <c r="F64">
        <v>14.2</v>
      </c>
      <c r="G64">
        <v>16.100000000000001</v>
      </c>
      <c r="H64">
        <v>15.2</v>
      </c>
      <c r="I64">
        <v>15.4</v>
      </c>
      <c r="J64">
        <v>15.1</v>
      </c>
      <c r="K64">
        <v>15.45</v>
      </c>
      <c r="L64">
        <v>15.9</v>
      </c>
      <c r="M64">
        <v>14.6</v>
      </c>
      <c r="N64">
        <v>15.9</v>
      </c>
      <c r="O64">
        <v>16.2</v>
      </c>
      <c r="P64">
        <v>16.100000000000001</v>
      </c>
      <c r="Q64">
        <v>15.7</v>
      </c>
      <c r="R64">
        <v>14.2</v>
      </c>
      <c r="S64">
        <v>15.5</v>
      </c>
      <c r="T64">
        <v>14.86</v>
      </c>
      <c r="U64">
        <v>16.2</v>
      </c>
      <c r="V64">
        <v>15.1</v>
      </c>
      <c r="W64">
        <v>15.1</v>
      </c>
      <c r="X64">
        <v>14.6</v>
      </c>
    </row>
    <row r="65" spans="1:24" x14ac:dyDescent="0.25">
      <c r="A65">
        <v>14.8</v>
      </c>
      <c r="B65">
        <v>14.1</v>
      </c>
      <c r="C65">
        <v>15.8</v>
      </c>
      <c r="D65">
        <v>13.4</v>
      </c>
      <c r="E65">
        <v>15.7</v>
      </c>
      <c r="F65">
        <v>16.3</v>
      </c>
      <c r="G65">
        <v>14.9</v>
      </c>
      <c r="H65">
        <v>16.5</v>
      </c>
      <c r="I65">
        <v>15.1</v>
      </c>
      <c r="J65">
        <v>14.7</v>
      </c>
      <c r="K65">
        <v>15.7</v>
      </c>
      <c r="L65">
        <v>15.75</v>
      </c>
      <c r="M65">
        <v>15.2</v>
      </c>
      <c r="N65">
        <v>15.4</v>
      </c>
      <c r="O65">
        <v>14.9</v>
      </c>
      <c r="P65">
        <v>15.2</v>
      </c>
      <c r="Q65">
        <v>15.8</v>
      </c>
      <c r="R65">
        <v>14.1</v>
      </c>
      <c r="S65">
        <v>15.2</v>
      </c>
      <c r="T65">
        <v>14.4</v>
      </c>
      <c r="U65">
        <v>16.3</v>
      </c>
      <c r="V65">
        <v>14.9</v>
      </c>
      <c r="W65">
        <v>14.9</v>
      </c>
      <c r="X65">
        <v>15.2</v>
      </c>
    </row>
    <row r="66" spans="1:24" x14ac:dyDescent="0.25">
      <c r="A66">
        <v>16</v>
      </c>
      <c r="B66">
        <v>15.65</v>
      </c>
      <c r="C66">
        <v>15.2</v>
      </c>
      <c r="D66">
        <v>14.1</v>
      </c>
      <c r="E66">
        <v>15</v>
      </c>
      <c r="F66">
        <v>15.2</v>
      </c>
      <c r="G66">
        <v>14.8</v>
      </c>
      <c r="H66">
        <v>15.9</v>
      </c>
      <c r="I66">
        <v>15.8</v>
      </c>
      <c r="J66">
        <v>13.3</v>
      </c>
      <c r="K66">
        <v>15.7</v>
      </c>
      <c r="L66">
        <v>15.85</v>
      </c>
      <c r="M66">
        <v>14.5</v>
      </c>
      <c r="N66">
        <v>15.2</v>
      </c>
      <c r="O66">
        <v>17</v>
      </c>
      <c r="P66">
        <v>14.9</v>
      </c>
      <c r="Q66">
        <v>18</v>
      </c>
      <c r="R66">
        <v>15.6</v>
      </c>
      <c r="S66">
        <v>14.8</v>
      </c>
      <c r="T66">
        <v>14.56</v>
      </c>
      <c r="U66">
        <v>15.5</v>
      </c>
      <c r="V66">
        <v>15.1</v>
      </c>
      <c r="W66">
        <v>15.1</v>
      </c>
      <c r="X66">
        <v>14.5</v>
      </c>
    </row>
    <row r="67" spans="1:24" x14ac:dyDescent="0.25">
      <c r="A67">
        <v>15.3</v>
      </c>
      <c r="B67">
        <v>16.3</v>
      </c>
      <c r="C67">
        <v>15.6</v>
      </c>
      <c r="D67">
        <v>15.2</v>
      </c>
      <c r="E67">
        <v>16.100000000000001</v>
      </c>
      <c r="F67">
        <v>15.2</v>
      </c>
      <c r="G67">
        <v>14.3</v>
      </c>
      <c r="H67">
        <v>14.4</v>
      </c>
      <c r="I67">
        <v>15.7</v>
      </c>
      <c r="J67">
        <v>14.6</v>
      </c>
      <c r="K67">
        <v>15.9</v>
      </c>
      <c r="L67">
        <v>15.95</v>
      </c>
      <c r="M67">
        <v>14.8</v>
      </c>
      <c r="N67">
        <v>15.2</v>
      </c>
      <c r="O67">
        <v>14.8</v>
      </c>
      <c r="P67">
        <v>14.6</v>
      </c>
      <c r="Q67">
        <v>15.7</v>
      </c>
      <c r="R67">
        <v>14.5</v>
      </c>
      <c r="S67">
        <v>14.5</v>
      </c>
      <c r="T67">
        <v>15.64</v>
      </c>
      <c r="U67">
        <v>15</v>
      </c>
      <c r="V67">
        <v>15.2</v>
      </c>
      <c r="W67">
        <v>15.2</v>
      </c>
      <c r="X67">
        <v>14.8</v>
      </c>
    </row>
    <row r="68" spans="1:24" x14ac:dyDescent="0.25">
      <c r="A68">
        <v>15.1</v>
      </c>
      <c r="B68">
        <v>16.05</v>
      </c>
      <c r="C68">
        <v>15.5</v>
      </c>
      <c r="D68">
        <v>14.9</v>
      </c>
      <c r="E68">
        <v>17.7</v>
      </c>
      <c r="F68">
        <v>15.3</v>
      </c>
      <c r="G68">
        <v>15</v>
      </c>
      <c r="H68">
        <v>15.5</v>
      </c>
      <c r="I68">
        <v>15.3</v>
      </c>
      <c r="J68">
        <v>14.9</v>
      </c>
      <c r="K68">
        <v>16.2</v>
      </c>
      <c r="L68">
        <v>15.8</v>
      </c>
      <c r="M68">
        <v>15.2</v>
      </c>
      <c r="N68">
        <v>12.9</v>
      </c>
      <c r="O68">
        <v>14.9</v>
      </c>
      <c r="P68">
        <v>15.2</v>
      </c>
      <c r="Q68">
        <v>16.100000000000001</v>
      </c>
      <c r="R68">
        <v>15.1</v>
      </c>
      <c r="S68">
        <v>15</v>
      </c>
      <c r="T68">
        <v>16.579999999999998</v>
      </c>
      <c r="U68">
        <v>15.2</v>
      </c>
      <c r="V68">
        <v>14.5</v>
      </c>
      <c r="W68">
        <v>16.5</v>
      </c>
      <c r="X68">
        <v>15.2</v>
      </c>
    </row>
    <row r="69" spans="1:24" x14ac:dyDescent="0.25">
      <c r="A69">
        <v>15.1</v>
      </c>
      <c r="B69">
        <v>15.1</v>
      </c>
      <c r="C69">
        <v>14.9</v>
      </c>
      <c r="D69">
        <v>14.8</v>
      </c>
      <c r="E69">
        <v>15.9</v>
      </c>
      <c r="F69">
        <v>15.7</v>
      </c>
      <c r="G69">
        <v>15.1</v>
      </c>
      <c r="H69">
        <v>15.1</v>
      </c>
      <c r="I69">
        <v>15.9</v>
      </c>
      <c r="J69">
        <v>14.9</v>
      </c>
      <c r="K69">
        <v>16.100000000000001</v>
      </c>
      <c r="L69">
        <v>16.3</v>
      </c>
      <c r="M69">
        <v>14.9</v>
      </c>
      <c r="N69">
        <v>14.4</v>
      </c>
      <c r="O69">
        <v>14.8</v>
      </c>
      <c r="P69">
        <v>15.1</v>
      </c>
      <c r="Q69">
        <v>15.5</v>
      </c>
      <c r="R69">
        <v>15.9</v>
      </c>
      <c r="S69">
        <v>16</v>
      </c>
      <c r="T69">
        <v>15.52</v>
      </c>
      <c r="U69">
        <v>15.5</v>
      </c>
      <c r="V69">
        <v>14.8</v>
      </c>
      <c r="W69">
        <v>14.8</v>
      </c>
      <c r="X69">
        <v>14.9</v>
      </c>
    </row>
    <row r="70" spans="1:24" x14ac:dyDescent="0.25">
      <c r="A70">
        <v>15.6</v>
      </c>
      <c r="B70">
        <v>15.15</v>
      </c>
      <c r="C70">
        <v>15</v>
      </c>
      <c r="D70">
        <v>15</v>
      </c>
      <c r="E70">
        <v>13.3</v>
      </c>
      <c r="F70">
        <v>15.3</v>
      </c>
      <c r="G70">
        <v>15.5</v>
      </c>
      <c r="H70">
        <v>15.5</v>
      </c>
      <c r="I70">
        <v>16</v>
      </c>
      <c r="J70">
        <v>16</v>
      </c>
      <c r="K70">
        <v>15.2</v>
      </c>
      <c r="L70">
        <v>15.35</v>
      </c>
      <c r="M70">
        <v>15.9</v>
      </c>
      <c r="N70">
        <v>16.2</v>
      </c>
      <c r="O70">
        <v>14.7</v>
      </c>
      <c r="P70">
        <v>15.2</v>
      </c>
      <c r="Q70">
        <v>15.7</v>
      </c>
      <c r="R70">
        <v>14.5</v>
      </c>
      <c r="S70">
        <v>15.6</v>
      </c>
      <c r="T70">
        <v>16.3</v>
      </c>
      <c r="U70">
        <v>14.8</v>
      </c>
      <c r="V70">
        <v>17.399999999999999</v>
      </c>
      <c r="W70">
        <v>17.399999999999999</v>
      </c>
      <c r="X70">
        <v>15.9</v>
      </c>
    </row>
    <row r="71" spans="1:24" x14ac:dyDescent="0.25">
      <c r="A71">
        <v>16</v>
      </c>
      <c r="B71">
        <v>15.8</v>
      </c>
      <c r="C71">
        <v>15.3</v>
      </c>
      <c r="D71">
        <v>14.5</v>
      </c>
      <c r="E71">
        <v>15.3</v>
      </c>
      <c r="F71">
        <v>15.7</v>
      </c>
      <c r="G71">
        <v>16.5</v>
      </c>
      <c r="H71">
        <v>15.1</v>
      </c>
      <c r="I71">
        <v>15</v>
      </c>
      <c r="J71">
        <v>14.04</v>
      </c>
      <c r="K71">
        <v>15.4</v>
      </c>
      <c r="L71">
        <v>16.850000000000001</v>
      </c>
      <c r="M71">
        <v>15.7</v>
      </c>
      <c r="N71">
        <v>15.5</v>
      </c>
      <c r="O71">
        <v>14.9</v>
      </c>
      <c r="P71">
        <v>15.2</v>
      </c>
      <c r="Q71">
        <v>16.2</v>
      </c>
      <c r="R71">
        <v>14.4</v>
      </c>
      <c r="S71">
        <v>15.4</v>
      </c>
      <c r="T71">
        <v>14.7</v>
      </c>
      <c r="U71">
        <v>16</v>
      </c>
      <c r="V71">
        <v>15.2</v>
      </c>
      <c r="W71">
        <v>15.2</v>
      </c>
      <c r="X71">
        <v>15.7</v>
      </c>
    </row>
    <row r="72" spans="1:24" x14ac:dyDescent="0.25">
      <c r="A72">
        <v>15.7</v>
      </c>
      <c r="B72">
        <v>15.15</v>
      </c>
      <c r="C72">
        <v>14.7</v>
      </c>
      <c r="D72">
        <v>14.6</v>
      </c>
      <c r="E72">
        <v>15.3</v>
      </c>
      <c r="F72">
        <v>15.6</v>
      </c>
      <c r="G72">
        <v>15.7</v>
      </c>
      <c r="H72">
        <v>15.2</v>
      </c>
      <c r="I72">
        <v>15.3</v>
      </c>
      <c r="J72">
        <v>14.6</v>
      </c>
      <c r="K72">
        <v>15.4</v>
      </c>
      <c r="L72">
        <v>15.4</v>
      </c>
      <c r="M72">
        <v>15.25</v>
      </c>
      <c r="N72">
        <v>15.5</v>
      </c>
      <c r="O72">
        <v>15.3</v>
      </c>
      <c r="P72">
        <v>14.6</v>
      </c>
      <c r="Q72">
        <v>16.3</v>
      </c>
      <c r="R72">
        <v>15.05</v>
      </c>
      <c r="S72">
        <v>15.2</v>
      </c>
      <c r="T72">
        <v>14</v>
      </c>
      <c r="U72">
        <v>15.2</v>
      </c>
      <c r="V72">
        <v>15.7</v>
      </c>
      <c r="W72">
        <v>15.7</v>
      </c>
      <c r="X72">
        <v>15.25</v>
      </c>
    </row>
    <row r="73" spans="1:24" x14ac:dyDescent="0.25">
      <c r="A73">
        <v>14.4</v>
      </c>
      <c r="B73">
        <v>15.5</v>
      </c>
      <c r="C73">
        <v>15</v>
      </c>
      <c r="D73">
        <v>15.4</v>
      </c>
      <c r="E73">
        <v>15.6</v>
      </c>
      <c r="F73">
        <v>15.3</v>
      </c>
      <c r="G73">
        <v>15.9</v>
      </c>
      <c r="H73">
        <v>15.4</v>
      </c>
      <c r="I73">
        <v>15.3</v>
      </c>
      <c r="J73">
        <v>15.5</v>
      </c>
      <c r="K73">
        <v>15.4</v>
      </c>
      <c r="L73">
        <v>15.8</v>
      </c>
      <c r="M73">
        <v>13.2</v>
      </c>
      <c r="N73">
        <v>15.5</v>
      </c>
      <c r="O73">
        <v>14.4</v>
      </c>
      <c r="P73">
        <v>14.9</v>
      </c>
      <c r="Q73">
        <v>15.2</v>
      </c>
      <c r="R73">
        <v>15.8</v>
      </c>
      <c r="S73">
        <v>16.2</v>
      </c>
      <c r="T73">
        <v>15.4</v>
      </c>
      <c r="U73">
        <v>16.399999999999999</v>
      </c>
      <c r="V73">
        <v>16</v>
      </c>
      <c r="W73">
        <v>16</v>
      </c>
      <c r="X73">
        <v>13.2</v>
      </c>
    </row>
    <row r="74" spans="1:24" x14ac:dyDescent="0.25">
      <c r="A74">
        <v>15.3</v>
      </c>
      <c r="B74">
        <v>15.9</v>
      </c>
      <c r="C74">
        <v>14.6</v>
      </c>
      <c r="D74">
        <v>16</v>
      </c>
      <c r="E74">
        <v>17</v>
      </c>
      <c r="F74">
        <v>13.8</v>
      </c>
      <c r="G74">
        <v>15.8</v>
      </c>
      <c r="H74">
        <v>16.399999999999999</v>
      </c>
      <c r="I74">
        <v>14.9</v>
      </c>
      <c r="J74">
        <v>16.5</v>
      </c>
      <c r="K74">
        <v>15.5</v>
      </c>
      <c r="L74">
        <v>14.8</v>
      </c>
      <c r="M74">
        <v>14.6</v>
      </c>
      <c r="N74">
        <v>15.2</v>
      </c>
      <c r="O74">
        <v>13.5</v>
      </c>
      <c r="P74">
        <v>13.5</v>
      </c>
      <c r="Q74">
        <v>14.8</v>
      </c>
      <c r="R74">
        <v>14.8</v>
      </c>
      <c r="S74">
        <v>15.4</v>
      </c>
      <c r="T74">
        <v>14.5</v>
      </c>
      <c r="U74">
        <v>14.3</v>
      </c>
      <c r="V74">
        <v>14.4</v>
      </c>
      <c r="W74">
        <v>14.4</v>
      </c>
      <c r="X74">
        <v>14.6</v>
      </c>
    </row>
    <row r="75" spans="1:24" x14ac:dyDescent="0.25">
      <c r="A75">
        <v>15.3</v>
      </c>
      <c r="B75">
        <v>16.100000000000001</v>
      </c>
      <c r="C75">
        <v>14.9</v>
      </c>
      <c r="D75">
        <v>15.4</v>
      </c>
      <c r="E75">
        <v>14.9</v>
      </c>
      <c r="F75">
        <v>14.5</v>
      </c>
      <c r="G75">
        <v>15.8</v>
      </c>
      <c r="H75">
        <v>15.9</v>
      </c>
      <c r="I75">
        <v>15.4</v>
      </c>
      <c r="J75">
        <v>16.399999999999999</v>
      </c>
      <c r="K75">
        <v>14.1</v>
      </c>
      <c r="L75">
        <v>15.4</v>
      </c>
      <c r="M75">
        <v>15.1</v>
      </c>
      <c r="N75">
        <v>15.1</v>
      </c>
      <c r="O75">
        <v>15.5</v>
      </c>
      <c r="P75">
        <v>15.4</v>
      </c>
      <c r="Q75">
        <v>15.4</v>
      </c>
      <c r="R75">
        <v>15.45</v>
      </c>
      <c r="S75">
        <v>16.600000000000001</v>
      </c>
      <c r="T75">
        <v>16.600000000000001</v>
      </c>
      <c r="U75">
        <v>14.4</v>
      </c>
      <c r="V75">
        <v>14.4</v>
      </c>
      <c r="W75">
        <v>14.4</v>
      </c>
      <c r="X75">
        <v>15.1</v>
      </c>
    </row>
    <row r="76" spans="1:24" x14ac:dyDescent="0.25">
      <c r="A76">
        <v>15.6</v>
      </c>
      <c r="B76">
        <v>15.4</v>
      </c>
      <c r="C76">
        <v>16.2</v>
      </c>
      <c r="D76">
        <v>14.4</v>
      </c>
      <c r="E76">
        <v>16.100000000000001</v>
      </c>
      <c r="F76">
        <v>15.7</v>
      </c>
      <c r="G76">
        <v>15.1</v>
      </c>
      <c r="H76">
        <v>14.95</v>
      </c>
      <c r="I76">
        <v>14.7</v>
      </c>
      <c r="J76">
        <v>13.8</v>
      </c>
      <c r="K76">
        <v>14.9</v>
      </c>
      <c r="L76">
        <v>16.3</v>
      </c>
      <c r="M76">
        <v>15.7</v>
      </c>
      <c r="N76">
        <v>14</v>
      </c>
      <c r="O76">
        <v>12.8</v>
      </c>
      <c r="P76">
        <v>14</v>
      </c>
      <c r="Q76">
        <v>14.4</v>
      </c>
      <c r="R76">
        <v>14.1</v>
      </c>
      <c r="S76">
        <v>15.15</v>
      </c>
      <c r="T76">
        <v>15.76</v>
      </c>
      <c r="U76">
        <v>16.2</v>
      </c>
      <c r="V76">
        <v>14.5</v>
      </c>
      <c r="W76">
        <v>14.5</v>
      </c>
      <c r="X76">
        <v>15.7</v>
      </c>
    </row>
    <row r="77" spans="1:24" x14ac:dyDescent="0.25">
      <c r="A77">
        <v>17.7</v>
      </c>
      <c r="B77">
        <v>15.3</v>
      </c>
      <c r="C77">
        <v>16.600000000000001</v>
      </c>
      <c r="D77">
        <v>14.3</v>
      </c>
      <c r="E77">
        <v>16.7</v>
      </c>
      <c r="F77">
        <v>14.6</v>
      </c>
      <c r="G77">
        <v>15.6</v>
      </c>
      <c r="H77">
        <v>17.399999999999999</v>
      </c>
      <c r="I77">
        <v>14.85</v>
      </c>
      <c r="J77">
        <v>15.1</v>
      </c>
      <c r="K77">
        <v>15.5</v>
      </c>
      <c r="L77">
        <v>15.6</v>
      </c>
      <c r="M77">
        <v>15.6</v>
      </c>
      <c r="N77">
        <v>14.7</v>
      </c>
      <c r="O77">
        <v>14.1</v>
      </c>
      <c r="P77">
        <v>14.5</v>
      </c>
      <c r="Q77">
        <v>16.100000000000001</v>
      </c>
      <c r="R77">
        <v>16.8</v>
      </c>
      <c r="S77">
        <v>15.25</v>
      </c>
      <c r="T77">
        <v>15.74</v>
      </c>
      <c r="V77">
        <v>14.2</v>
      </c>
      <c r="W77">
        <v>14.2</v>
      </c>
      <c r="X77">
        <v>15.6</v>
      </c>
    </row>
    <row r="78" spans="1:24" x14ac:dyDescent="0.25">
      <c r="A78">
        <v>15.4</v>
      </c>
      <c r="B78">
        <v>15.4</v>
      </c>
      <c r="C78">
        <v>16.5</v>
      </c>
      <c r="D78">
        <v>13.4</v>
      </c>
      <c r="E78">
        <v>16.600000000000001</v>
      </c>
      <c r="F78">
        <v>16.5</v>
      </c>
      <c r="G78">
        <v>14.6</v>
      </c>
      <c r="H78">
        <v>17.399999999999999</v>
      </c>
      <c r="I78">
        <v>15.4</v>
      </c>
      <c r="J78">
        <v>15.3</v>
      </c>
      <c r="K78">
        <v>15</v>
      </c>
      <c r="L78">
        <v>16.5</v>
      </c>
      <c r="M78">
        <v>14.9</v>
      </c>
      <c r="N78">
        <v>15.4</v>
      </c>
      <c r="O78">
        <v>12.8</v>
      </c>
      <c r="P78">
        <v>14.9</v>
      </c>
      <c r="Q78">
        <v>16</v>
      </c>
      <c r="R78">
        <v>14.3</v>
      </c>
      <c r="S78">
        <v>14.5</v>
      </c>
      <c r="T78">
        <v>17</v>
      </c>
      <c r="V78">
        <v>14.7</v>
      </c>
      <c r="W78">
        <v>14.7</v>
      </c>
      <c r="X78">
        <v>14.9</v>
      </c>
    </row>
    <row r="79" spans="1:24" x14ac:dyDescent="0.25">
      <c r="A79">
        <v>16.5</v>
      </c>
      <c r="B79">
        <v>14.9</v>
      </c>
      <c r="C79">
        <v>16.600000000000001</v>
      </c>
      <c r="D79">
        <v>15.1</v>
      </c>
      <c r="E79">
        <v>15.7</v>
      </c>
      <c r="F79">
        <v>14.3</v>
      </c>
      <c r="G79">
        <v>14.7</v>
      </c>
      <c r="H79">
        <v>15.7</v>
      </c>
      <c r="I79">
        <v>14.9</v>
      </c>
      <c r="J79">
        <v>14.9</v>
      </c>
      <c r="K79">
        <v>15.6</v>
      </c>
      <c r="L79">
        <v>15.4</v>
      </c>
      <c r="M79">
        <v>15</v>
      </c>
      <c r="N79">
        <v>16.7</v>
      </c>
      <c r="O79">
        <v>15.8</v>
      </c>
      <c r="P79">
        <v>14.4</v>
      </c>
      <c r="Q79">
        <v>16.2</v>
      </c>
      <c r="R79">
        <v>13.9</v>
      </c>
      <c r="S79">
        <v>15.5</v>
      </c>
      <c r="T79">
        <v>15.02</v>
      </c>
      <c r="V79">
        <v>14.8</v>
      </c>
      <c r="W79">
        <v>14.8</v>
      </c>
      <c r="X79">
        <v>15</v>
      </c>
    </row>
    <row r="80" spans="1:24" x14ac:dyDescent="0.25">
      <c r="A80">
        <v>15.7</v>
      </c>
      <c r="B80">
        <v>15.3</v>
      </c>
      <c r="C80">
        <v>15.8</v>
      </c>
      <c r="D80">
        <v>14</v>
      </c>
      <c r="E80">
        <v>16.100000000000001</v>
      </c>
      <c r="F80">
        <v>15.6</v>
      </c>
      <c r="G80">
        <v>15.7</v>
      </c>
      <c r="H80">
        <v>15.5</v>
      </c>
      <c r="I80">
        <v>15.1</v>
      </c>
      <c r="J80">
        <v>14.7</v>
      </c>
      <c r="K80">
        <v>16</v>
      </c>
      <c r="L80">
        <v>15.8</v>
      </c>
      <c r="M80">
        <v>15.1</v>
      </c>
      <c r="N80">
        <v>15.4</v>
      </c>
      <c r="O80">
        <v>14.6</v>
      </c>
      <c r="P80">
        <v>14.2</v>
      </c>
      <c r="Q80">
        <v>15.7</v>
      </c>
      <c r="R80">
        <v>14.3</v>
      </c>
      <c r="S80">
        <v>15</v>
      </c>
      <c r="T80">
        <v>15.38</v>
      </c>
      <c r="V80">
        <v>14</v>
      </c>
      <c r="W80">
        <v>14</v>
      </c>
      <c r="X80">
        <v>15.1</v>
      </c>
    </row>
    <row r="81" spans="1:24" x14ac:dyDescent="0.25">
      <c r="A81">
        <v>16.8</v>
      </c>
      <c r="B81">
        <v>15.45</v>
      </c>
      <c r="C81">
        <v>15.7</v>
      </c>
      <c r="D81">
        <v>14.2</v>
      </c>
      <c r="E81">
        <v>16.600000000000001</v>
      </c>
      <c r="F81">
        <v>15.5</v>
      </c>
      <c r="G81">
        <v>16.3</v>
      </c>
      <c r="H81">
        <v>15.1</v>
      </c>
      <c r="I81">
        <v>15.2</v>
      </c>
      <c r="J81">
        <v>14.6</v>
      </c>
      <c r="K81">
        <v>15.5</v>
      </c>
      <c r="L81">
        <v>16.100000000000001</v>
      </c>
      <c r="M81">
        <v>14.4</v>
      </c>
      <c r="N81">
        <v>15.3</v>
      </c>
      <c r="O81">
        <v>15.9</v>
      </c>
      <c r="P81">
        <v>17.100000000000001</v>
      </c>
      <c r="Q81">
        <v>16.399999999999999</v>
      </c>
      <c r="R81">
        <v>14.3</v>
      </c>
      <c r="S81">
        <v>16</v>
      </c>
      <c r="T81">
        <v>14.64</v>
      </c>
      <c r="V81">
        <v>15</v>
      </c>
      <c r="W81">
        <v>15</v>
      </c>
      <c r="X81">
        <v>14.4</v>
      </c>
    </row>
    <row r="82" spans="1:24" x14ac:dyDescent="0.25">
      <c r="A82">
        <v>15.1</v>
      </c>
      <c r="B82">
        <v>15.65</v>
      </c>
      <c r="C82">
        <v>15.1</v>
      </c>
      <c r="D82">
        <v>14.4</v>
      </c>
      <c r="E82">
        <v>15.7</v>
      </c>
      <c r="F82">
        <v>15</v>
      </c>
      <c r="G82">
        <v>14.4</v>
      </c>
      <c r="H82">
        <v>14.8</v>
      </c>
      <c r="I82">
        <v>15.8</v>
      </c>
      <c r="J82">
        <v>14.6</v>
      </c>
      <c r="K82">
        <v>16.100000000000001</v>
      </c>
      <c r="L82">
        <v>15.8</v>
      </c>
      <c r="M82">
        <v>14.4</v>
      </c>
      <c r="N82">
        <v>15.2</v>
      </c>
      <c r="O82">
        <v>15.4</v>
      </c>
      <c r="P82">
        <v>16.399999999999999</v>
      </c>
      <c r="Q82">
        <v>16</v>
      </c>
      <c r="R82">
        <v>14.4</v>
      </c>
      <c r="S82">
        <v>15.6</v>
      </c>
      <c r="T82">
        <v>15</v>
      </c>
      <c r="V82">
        <v>15</v>
      </c>
      <c r="W82">
        <v>15</v>
      </c>
      <c r="X82">
        <v>14.4</v>
      </c>
    </row>
    <row r="83" spans="1:24" x14ac:dyDescent="0.25">
      <c r="A83">
        <v>15.3</v>
      </c>
      <c r="B83">
        <v>16.2</v>
      </c>
      <c r="C83">
        <v>15.6</v>
      </c>
      <c r="D83">
        <v>13.7</v>
      </c>
      <c r="E83">
        <v>16.600000000000001</v>
      </c>
      <c r="F83">
        <v>16.600000000000001</v>
      </c>
      <c r="G83">
        <v>15.3</v>
      </c>
      <c r="H83">
        <v>15.6</v>
      </c>
      <c r="I83">
        <v>16.100000000000001</v>
      </c>
      <c r="J83">
        <v>14.8</v>
      </c>
      <c r="K83">
        <v>15.9</v>
      </c>
      <c r="L83">
        <v>16.3</v>
      </c>
      <c r="M83">
        <v>15.2</v>
      </c>
      <c r="N83">
        <v>12.5</v>
      </c>
      <c r="O83">
        <v>15.1</v>
      </c>
      <c r="P83">
        <v>16.5</v>
      </c>
      <c r="Q83">
        <v>16.3</v>
      </c>
      <c r="R83">
        <v>14.5</v>
      </c>
      <c r="S83">
        <v>15.9</v>
      </c>
      <c r="T83">
        <v>16.34</v>
      </c>
      <c r="V83">
        <v>15</v>
      </c>
      <c r="W83">
        <v>15</v>
      </c>
      <c r="X83">
        <v>15.2</v>
      </c>
    </row>
    <row r="84" spans="1:24" x14ac:dyDescent="0.25">
      <c r="A84">
        <v>15.2</v>
      </c>
      <c r="B84">
        <v>14.95</v>
      </c>
      <c r="C84">
        <v>14.9</v>
      </c>
      <c r="D84">
        <v>14.7</v>
      </c>
      <c r="E84">
        <v>15.1</v>
      </c>
      <c r="F84">
        <v>15</v>
      </c>
      <c r="G84">
        <v>14.4</v>
      </c>
      <c r="H84">
        <v>15.3</v>
      </c>
      <c r="I84">
        <v>16.2</v>
      </c>
      <c r="J84">
        <v>16.399999999999999</v>
      </c>
      <c r="K84">
        <v>16.399999999999999</v>
      </c>
      <c r="L84">
        <v>15.3</v>
      </c>
      <c r="M84">
        <v>15.1</v>
      </c>
      <c r="N84">
        <v>14.6</v>
      </c>
      <c r="O84">
        <v>15.3</v>
      </c>
      <c r="P84">
        <v>15.7</v>
      </c>
      <c r="Q84">
        <v>14.4</v>
      </c>
      <c r="R84">
        <v>15.8</v>
      </c>
      <c r="S84">
        <v>17.3</v>
      </c>
      <c r="T84">
        <v>16.2</v>
      </c>
      <c r="V84">
        <v>15.3</v>
      </c>
      <c r="W84">
        <v>15.3</v>
      </c>
      <c r="X84">
        <v>15.1</v>
      </c>
    </row>
    <row r="85" spans="1:24" x14ac:dyDescent="0.25">
      <c r="A85">
        <v>15.5</v>
      </c>
      <c r="B85">
        <v>15.7</v>
      </c>
      <c r="C85">
        <v>14.8</v>
      </c>
      <c r="D85">
        <v>14.1</v>
      </c>
      <c r="E85">
        <v>15.7</v>
      </c>
      <c r="F85">
        <v>15.2</v>
      </c>
      <c r="G85">
        <v>15.8</v>
      </c>
      <c r="H85">
        <v>15.4</v>
      </c>
      <c r="I85">
        <v>15.6</v>
      </c>
      <c r="J85">
        <v>14.8</v>
      </c>
      <c r="K85">
        <v>15.6</v>
      </c>
      <c r="L85">
        <v>15.6</v>
      </c>
      <c r="M85">
        <v>16.2</v>
      </c>
      <c r="N85">
        <v>16.7</v>
      </c>
      <c r="O85">
        <v>15.1</v>
      </c>
      <c r="P85">
        <v>16</v>
      </c>
      <c r="Q85">
        <v>15.6</v>
      </c>
      <c r="R85">
        <v>14.7</v>
      </c>
      <c r="S85">
        <v>16</v>
      </c>
      <c r="T85">
        <v>16.899999999999999</v>
      </c>
      <c r="V85">
        <v>17.100000000000001</v>
      </c>
      <c r="W85">
        <v>17.100000000000001</v>
      </c>
      <c r="X85">
        <v>16.2</v>
      </c>
    </row>
    <row r="86" spans="1:24" x14ac:dyDescent="0.25">
      <c r="A86">
        <v>16.8</v>
      </c>
      <c r="B86">
        <v>15.15</v>
      </c>
      <c r="C86">
        <v>15.3</v>
      </c>
      <c r="D86">
        <v>14</v>
      </c>
      <c r="E86">
        <v>15.3</v>
      </c>
      <c r="F86">
        <v>15.1</v>
      </c>
      <c r="G86">
        <v>16.3</v>
      </c>
      <c r="H86">
        <v>15</v>
      </c>
      <c r="I86">
        <v>15.1</v>
      </c>
      <c r="J86">
        <v>15.9</v>
      </c>
      <c r="K86">
        <v>15.3</v>
      </c>
      <c r="L86">
        <v>15.9</v>
      </c>
      <c r="M86">
        <v>15.8</v>
      </c>
      <c r="N86">
        <v>15.6</v>
      </c>
      <c r="O86">
        <v>15.2</v>
      </c>
      <c r="P86">
        <v>15.3</v>
      </c>
      <c r="Q86">
        <v>16.899999999999999</v>
      </c>
      <c r="R86">
        <v>15.1</v>
      </c>
      <c r="S86">
        <v>16.100000000000001</v>
      </c>
      <c r="T86">
        <v>14.6</v>
      </c>
      <c r="V86">
        <v>15.8</v>
      </c>
      <c r="W86">
        <v>15.8</v>
      </c>
      <c r="X86">
        <v>15.8</v>
      </c>
    </row>
    <row r="87" spans="1:24" x14ac:dyDescent="0.25">
      <c r="A87">
        <v>15.2</v>
      </c>
      <c r="B87">
        <v>15.3</v>
      </c>
      <c r="C87">
        <v>14.9</v>
      </c>
      <c r="D87">
        <v>16.100000000000001</v>
      </c>
      <c r="E87">
        <v>14</v>
      </c>
      <c r="F87">
        <v>15.9</v>
      </c>
      <c r="G87">
        <v>15.9</v>
      </c>
      <c r="H87">
        <v>15.1</v>
      </c>
      <c r="I87">
        <v>15.5</v>
      </c>
      <c r="J87">
        <v>14.6</v>
      </c>
      <c r="K87">
        <v>15.4</v>
      </c>
      <c r="L87">
        <v>15.7</v>
      </c>
      <c r="M87">
        <v>15.85</v>
      </c>
      <c r="N87">
        <v>14.4</v>
      </c>
      <c r="O87">
        <v>15.1</v>
      </c>
      <c r="P87">
        <v>15</v>
      </c>
      <c r="Q87">
        <v>16.2</v>
      </c>
      <c r="R87">
        <v>16</v>
      </c>
      <c r="S87">
        <v>15.4</v>
      </c>
      <c r="T87">
        <v>14.5</v>
      </c>
      <c r="V87">
        <v>15.6</v>
      </c>
      <c r="W87">
        <v>15.6</v>
      </c>
      <c r="X87">
        <v>15.85</v>
      </c>
    </row>
    <row r="88" spans="1:24" x14ac:dyDescent="0.25">
      <c r="A88">
        <v>14.7</v>
      </c>
      <c r="B88">
        <v>15.7</v>
      </c>
      <c r="C88">
        <v>15</v>
      </c>
      <c r="D88">
        <v>14.7</v>
      </c>
      <c r="E88">
        <v>16.600000000000001</v>
      </c>
      <c r="F88">
        <v>14.1</v>
      </c>
      <c r="G88">
        <v>15.7</v>
      </c>
      <c r="H88">
        <v>15.5</v>
      </c>
      <c r="I88">
        <v>14.9</v>
      </c>
      <c r="J88">
        <v>15.4</v>
      </c>
      <c r="K88">
        <v>15.1</v>
      </c>
      <c r="L88">
        <v>15.3</v>
      </c>
      <c r="M88">
        <v>12</v>
      </c>
      <c r="N88">
        <v>16.8</v>
      </c>
      <c r="O88">
        <v>15.1</v>
      </c>
      <c r="P88">
        <v>15.5</v>
      </c>
      <c r="Q88">
        <v>15.1</v>
      </c>
      <c r="R88">
        <v>15.8</v>
      </c>
      <c r="S88">
        <v>16.3</v>
      </c>
      <c r="T88">
        <v>15</v>
      </c>
      <c r="V88">
        <v>15.55</v>
      </c>
      <c r="W88">
        <v>15.55</v>
      </c>
      <c r="X88">
        <v>12</v>
      </c>
    </row>
    <row r="89" spans="1:24" x14ac:dyDescent="0.25">
      <c r="A89">
        <v>15.8</v>
      </c>
      <c r="B89">
        <v>15.85</v>
      </c>
      <c r="C89">
        <v>14.9</v>
      </c>
      <c r="D89">
        <v>15.2</v>
      </c>
      <c r="E89">
        <v>15.3</v>
      </c>
      <c r="F89">
        <v>14</v>
      </c>
      <c r="G89">
        <v>16.3</v>
      </c>
      <c r="H89">
        <v>15.44</v>
      </c>
      <c r="I89">
        <v>14.8</v>
      </c>
      <c r="J89">
        <v>16.100000000000001</v>
      </c>
      <c r="K89">
        <v>15.1</v>
      </c>
      <c r="L89">
        <v>14.6</v>
      </c>
      <c r="M89">
        <v>14.7</v>
      </c>
      <c r="N89">
        <v>15.2</v>
      </c>
      <c r="O89">
        <v>15.5</v>
      </c>
      <c r="P89">
        <v>14.9</v>
      </c>
      <c r="Q89">
        <v>15.1</v>
      </c>
      <c r="R89">
        <v>15.2</v>
      </c>
      <c r="S89">
        <v>15</v>
      </c>
      <c r="T89">
        <v>14.9</v>
      </c>
      <c r="V89">
        <v>14.3</v>
      </c>
      <c r="W89">
        <v>15.3</v>
      </c>
      <c r="X89">
        <v>14.7</v>
      </c>
    </row>
    <row r="90" spans="1:24" x14ac:dyDescent="0.25">
      <c r="A90">
        <v>14.9</v>
      </c>
      <c r="B90">
        <v>15.85</v>
      </c>
      <c r="C90">
        <v>14.8</v>
      </c>
      <c r="D90">
        <v>14.3</v>
      </c>
      <c r="E90">
        <v>15.2</v>
      </c>
      <c r="F90">
        <v>14.2</v>
      </c>
      <c r="G90">
        <v>15.9</v>
      </c>
      <c r="H90">
        <v>16.5</v>
      </c>
      <c r="I90">
        <v>14.8</v>
      </c>
      <c r="J90">
        <v>16.100000000000001</v>
      </c>
      <c r="K90">
        <v>13.9</v>
      </c>
      <c r="L90">
        <v>14.5</v>
      </c>
      <c r="M90">
        <v>15</v>
      </c>
      <c r="N90">
        <v>16.899999999999999</v>
      </c>
      <c r="O90">
        <v>15.7</v>
      </c>
      <c r="P90">
        <v>14.95</v>
      </c>
      <c r="Q90">
        <v>15.6</v>
      </c>
      <c r="R90">
        <v>15.15</v>
      </c>
      <c r="S90">
        <v>17.899999999999999</v>
      </c>
      <c r="T90">
        <v>15.6</v>
      </c>
      <c r="V90">
        <v>14.7</v>
      </c>
      <c r="W90">
        <v>14.7</v>
      </c>
      <c r="X90">
        <v>15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2:L24"/>
  <sheetViews>
    <sheetView workbookViewId="0">
      <pane xSplit="3" topLeftCell="E1" activePane="topRight" state="frozen"/>
      <selection pane="topRight" activeCell="A18" sqref="A18:XFD18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1655</v>
      </c>
      <c r="C4" s="26" t="s">
        <v>70</v>
      </c>
      <c r="D4" s="65" t="s">
        <v>27</v>
      </c>
      <c r="E4" s="39" t="s">
        <v>222</v>
      </c>
      <c r="F4" s="16">
        <v>24000</v>
      </c>
      <c r="G4" s="16">
        <v>80000</v>
      </c>
      <c r="H4" s="17">
        <v>24000</v>
      </c>
      <c r="I4" s="16">
        <v>288.60000000000002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1656</v>
      </c>
      <c r="C5" s="28" t="s">
        <v>1657</v>
      </c>
      <c r="D5" s="29" t="s">
        <v>27</v>
      </c>
      <c r="E5" s="40" t="s">
        <v>1658</v>
      </c>
      <c r="F5" s="22">
        <v>250</v>
      </c>
      <c r="G5" s="22">
        <v>5000</v>
      </c>
      <c r="H5" s="23">
        <v>250</v>
      </c>
      <c r="I5" s="22">
        <f t="shared" ref="I5:I22" si="0">G5-H5</f>
        <v>4750</v>
      </c>
      <c r="J5" s="22" t="s">
        <v>16</v>
      </c>
      <c r="K5" s="24"/>
      <c r="L5" s="25"/>
    </row>
    <row r="6" spans="1:12" ht="15.75" x14ac:dyDescent="0.25">
      <c r="A6" s="20" t="s">
        <v>17</v>
      </c>
      <c r="B6" s="21" t="s">
        <v>1537</v>
      </c>
      <c r="C6" s="28" t="s">
        <v>32</v>
      </c>
      <c r="D6" s="66" t="s">
        <v>18</v>
      </c>
      <c r="E6" s="40" t="s">
        <v>33</v>
      </c>
      <c r="F6" s="22">
        <v>400</v>
      </c>
      <c r="G6" s="42">
        <v>10000</v>
      </c>
      <c r="H6" s="23">
        <v>400</v>
      </c>
      <c r="I6" s="22">
        <f t="shared" si="0"/>
        <v>9600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1645</v>
      </c>
      <c r="C7" s="28" t="s">
        <v>1646</v>
      </c>
      <c r="D7" s="66" t="s">
        <v>18</v>
      </c>
      <c r="E7" s="40" t="s">
        <v>49</v>
      </c>
      <c r="F7" s="22">
        <v>3500</v>
      </c>
      <c r="G7" s="22">
        <v>8000</v>
      </c>
      <c r="H7" s="23">
        <f>2000+3500</f>
        <v>5500</v>
      </c>
      <c r="I7" s="22">
        <f t="shared" si="0"/>
        <v>2500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1381</v>
      </c>
      <c r="C8" s="28" t="s">
        <v>15</v>
      </c>
      <c r="D8" s="66" t="s">
        <v>1099</v>
      </c>
      <c r="E8" s="40" t="s">
        <v>940</v>
      </c>
      <c r="F8" s="22">
        <v>8000</v>
      </c>
      <c r="G8" s="22">
        <v>1000000</v>
      </c>
      <c r="H8" s="23">
        <f>100000+200000+8000</f>
        <v>308000</v>
      </c>
      <c r="I8" s="22">
        <f t="shared" si="0"/>
        <v>692000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1659</v>
      </c>
      <c r="C9" s="28" t="s">
        <v>1521</v>
      </c>
      <c r="D9" s="66" t="s">
        <v>1286</v>
      </c>
      <c r="E9" s="40" t="s">
        <v>351</v>
      </c>
      <c r="F9" s="22">
        <v>156.80000000000001</v>
      </c>
      <c r="G9" s="22">
        <v>150</v>
      </c>
      <c r="H9" s="23">
        <v>156.80000000000001</v>
      </c>
      <c r="I9" s="22">
        <f>G9-H9</f>
        <v>-6.8000000000000114</v>
      </c>
      <c r="J9" s="22" t="s">
        <v>24</v>
      </c>
      <c r="K9" s="24"/>
      <c r="L9" s="25"/>
    </row>
    <row r="10" spans="1:12" ht="15.75" x14ac:dyDescent="0.25">
      <c r="A10" s="20" t="s">
        <v>22</v>
      </c>
      <c r="B10" s="21" t="s">
        <v>1660</v>
      </c>
      <c r="C10" s="28" t="s">
        <v>1661</v>
      </c>
      <c r="D10" s="66" t="s">
        <v>440</v>
      </c>
      <c r="E10" s="40" t="s">
        <v>1662</v>
      </c>
      <c r="F10" s="22">
        <v>86.8</v>
      </c>
      <c r="G10" s="22">
        <v>306.60000000000002</v>
      </c>
      <c r="H10" s="23">
        <v>86.8</v>
      </c>
      <c r="I10" s="22">
        <f>G10-H10</f>
        <v>219.8</v>
      </c>
      <c r="J10" s="22" t="s">
        <v>16</v>
      </c>
      <c r="K10" s="24"/>
      <c r="L10" s="25"/>
    </row>
    <row r="11" spans="1:12" ht="15.75" x14ac:dyDescent="0.25">
      <c r="A11" s="20" t="s">
        <v>22</v>
      </c>
      <c r="B11" s="21" t="s">
        <v>1663</v>
      </c>
      <c r="C11" s="28" t="s">
        <v>1521</v>
      </c>
      <c r="D11" s="66" t="s">
        <v>1286</v>
      </c>
      <c r="E11" s="40" t="s">
        <v>633</v>
      </c>
      <c r="F11" s="22">
        <v>95.2</v>
      </c>
      <c r="G11" s="22">
        <v>100</v>
      </c>
      <c r="H11" s="23">
        <v>95.2</v>
      </c>
      <c r="I11" s="22">
        <f>G11-H11</f>
        <v>4.7999999999999972</v>
      </c>
      <c r="J11" s="22" t="s">
        <v>23</v>
      </c>
      <c r="K11" s="24"/>
      <c r="L11" s="25"/>
    </row>
    <row r="12" spans="1:12" ht="15.75" x14ac:dyDescent="0.25">
      <c r="A12" s="20" t="s">
        <v>22</v>
      </c>
      <c r="B12" s="21" t="s">
        <v>1639</v>
      </c>
      <c r="C12" s="28" t="s">
        <v>1446</v>
      </c>
      <c r="D12" s="66" t="s">
        <v>1447</v>
      </c>
      <c r="E12" s="40" t="s">
        <v>1448</v>
      </c>
      <c r="F12" s="22">
        <v>257.39999999999998</v>
      </c>
      <c r="G12" s="22">
        <v>500</v>
      </c>
      <c r="H12" s="23">
        <v>442.3</v>
      </c>
      <c r="I12" s="22">
        <f>G12-H12</f>
        <v>57.699999999999989</v>
      </c>
      <c r="J12" s="22" t="s">
        <v>16</v>
      </c>
      <c r="K12" s="24"/>
      <c r="L12" s="25"/>
    </row>
    <row r="13" spans="1:12" ht="15.75" x14ac:dyDescent="0.25">
      <c r="A13" s="20" t="s">
        <v>20</v>
      </c>
      <c r="B13" s="21" t="s">
        <v>1648</v>
      </c>
      <c r="C13" s="28" t="s">
        <v>795</v>
      </c>
      <c r="D13" s="66" t="s">
        <v>18</v>
      </c>
      <c r="E13" s="40" t="s">
        <v>796</v>
      </c>
      <c r="F13" s="22">
        <f>1500+875</f>
        <v>2375</v>
      </c>
      <c r="G13" s="42">
        <v>3000</v>
      </c>
      <c r="H13" s="23">
        <v>3525</v>
      </c>
      <c r="I13" s="22">
        <f t="shared" si="0"/>
        <v>-525</v>
      </c>
      <c r="J13" s="22" t="s">
        <v>24</v>
      </c>
      <c r="K13" s="24"/>
      <c r="L13" s="25"/>
    </row>
    <row r="14" spans="1:12" ht="15.75" x14ac:dyDescent="0.25">
      <c r="A14" s="20" t="s">
        <v>44</v>
      </c>
      <c r="B14" s="21" t="s">
        <v>1381</v>
      </c>
      <c r="C14" s="28" t="s">
        <v>15</v>
      </c>
      <c r="D14" s="29" t="s">
        <v>1613</v>
      </c>
      <c r="E14" s="40" t="s">
        <v>207</v>
      </c>
      <c r="F14" s="22">
        <v>10000</v>
      </c>
      <c r="G14" s="22">
        <v>500000</v>
      </c>
      <c r="H14" s="23">
        <f>58400+6550+18000+10000</f>
        <v>92950</v>
      </c>
      <c r="I14" s="22">
        <f t="shared" si="0"/>
        <v>407050</v>
      </c>
      <c r="J14" s="22" t="s">
        <v>16</v>
      </c>
      <c r="K14" s="24"/>
      <c r="L14" s="25"/>
    </row>
    <row r="15" spans="1:12" ht="15.75" x14ac:dyDescent="0.25">
      <c r="A15" s="20" t="s">
        <v>963</v>
      </c>
      <c r="B15" s="21" t="s">
        <v>1489</v>
      </c>
      <c r="C15" s="28" t="s">
        <v>15</v>
      </c>
      <c r="D15" s="29" t="s">
        <v>1635</v>
      </c>
      <c r="E15" s="40" t="s">
        <v>966</v>
      </c>
      <c r="F15" s="22">
        <v>54</v>
      </c>
      <c r="G15" s="22">
        <v>1000</v>
      </c>
      <c r="H15" s="23">
        <f>592+54</f>
        <v>646</v>
      </c>
      <c r="I15" s="22">
        <f t="shared" si="0"/>
        <v>354</v>
      </c>
      <c r="J15" s="22" t="s">
        <v>16</v>
      </c>
      <c r="K15" s="24"/>
      <c r="L15" s="25"/>
    </row>
    <row r="16" spans="1:12" ht="15.75" x14ac:dyDescent="0.25">
      <c r="A16" s="20" t="s">
        <v>231</v>
      </c>
      <c r="B16" s="21" t="s">
        <v>1579</v>
      </c>
      <c r="C16" s="28" t="s">
        <v>1616</v>
      </c>
      <c r="D16" s="29" t="s">
        <v>240</v>
      </c>
      <c r="E16" s="40" t="s">
        <v>1581</v>
      </c>
      <c r="F16" s="22">
        <v>526.45000000000005</v>
      </c>
      <c r="G16" s="22">
        <v>30000</v>
      </c>
      <c r="H16" s="23">
        <f>2412.4+588+676.3+483.45+526.45</f>
        <v>4686.5999999999995</v>
      </c>
      <c r="I16" s="22">
        <f t="shared" si="0"/>
        <v>25313.4</v>
      </c>
      <c r="J16" s="22" t="s">
        <v>16</v>
      </c>
      <c r="K16" s="24"/>
      <c r="L16" s="25"/>
    </row>
    <row r="17" spans="1:12" ht="15.75" x14ac:dyDescent="0.25">
      <c r="A17" s="20" t="s">
        <v>51</v>
      </c>
      <c r="B17" s="21" t="s">
        <v>1651</v>
      </c>
      <c r="C17" s="28" t="s">
        <v>588</v>
      </c>
      <c r="D17" s="66" t="s">
        <v>1029</v>
      </c>
      <c r="E17" s="40" t="s">
        <v>351</v>
      </c>
      <c r="F17" s="22">
        <v>44.8</v>
      </c>
      <c r="G17" s="22">
        <v>50</v>
      </c>
      <c r="H17" s="23">
        <v>44.8</v>
      </c>
      <c r="I17" s="22">
        <f t="shared" si="0"/>
        <v>5.2000000000000028</v>
      </c>
      <c r="J17" s="22" t="s">
        <v>16</v>
      </c>
      <c r="K17" s="24"/>
      <c r="L17" s="25"/>
    </row>
    <row r="18" spans="1:12" ht="15.75" x14ac:dyDescent="0.25">
      <c r="A18" s="20" t="s">
        <v>40</v>
      </c>
      <c r="B18" s="21" t="s">
        <v>1456</v>
      </c>
      <c r="C18" s="28" t="s">
        <v>1586</v>
      </c>
      <c r="D18" s="66" t="s">
        <v>54</v>
      </c>
      <c r="E18" s="40" t="s">
        <v>59</v>
      </c>
      <c r="F18" s="22">
        <f>6000+36000</f>
        <v>42000</v>
      </c>
      <c r="G18" s="22">
        <v>300000</v>
      </c>
      <c r="H18" s="23">
        <f>42000+3000+13000+31000+42000</f>
        <v>131000</v>
      </c>
      <c r="I18" s="22">
        <f t="shared" si="0"/>
        <v>169000</v>
      </c>
      <c r="J18" s="22" t="s">
        <v>16</v>
      </c>
      <c r="K18" s="24"/>
      <c r="L18" s="25"/>
    </row>
    <row r="19" spans="1:12" ht="15.75" x14ac:dyDescent="0.25">
      <c r="A19" s="20" t="s">
        <v>21</v>
      </c>
      <c r="B19" s="21" t="s">
        <v>1652</v>
      </c>
      <c r="C19" s="28" t="s">
        <v>34</v>
      </c>
      <c r="D19" s="29" t="s">
        <v>18</v>
      </c>
      <c r="E19" s="40" t="s">
        <v>1156</v>
      </c>
      <c r="F19" s="22">
        <f>18000+0</f>
        <v>18000</v>
      </c>
      <c r="G19" s="42">
        <v>200000</v>
      </c>
      <c r="H19" s="23">
        <v>18000</v>
      </c>
      <c r="I19" s="22">
        <f>G19-H19</f>
        <v>182000</v>
      </c>
      <c r="J19" s="22" t="s">
        <v>16</v>
      </c>
      <c r="K19" s="24"/>
      <c r="L19" s="25"/>
    </row>
    <row r="20" spans="1:12" ht="15.75" x14ac:dyDescent="0.25">
      <c r="A20" s="20" t="s">
        <v>21</v>
      </c>
      <c r="B20" s="21" t="s">
        <v>1653</v>
      </c>
      <c r="C20" s="28" t="s">
        <v>34</v>
      </c>
      <c r="D20" s="66" t="s">
        <v>18</v>
      </c>
      <c r="E20" s="40" t="s">
        <v>1654</v>
      </c>
      <c r="F20" s="22">
        <v>20000</v>
      </c>
      <c r="G20" s="42">
        <v>57000</v>
      </c>
      <c r="H20" s="23">
        <v>20000</v>
      </c>
      <c r="I20" s="22">
        <f t="shared" ref="I20:I21" si="1">G20-H20</f>
        <v>37000</v>
      </c>
      <c r="J20" s="22" t="s">
        <v>16</v>
      </c>
      <c r="K20" s="24"/>
      <c r="L20" s="25"/>
    </row>
    <row r="21" spans="1:12" ht="15.75" x14ac:dyDescent="0.25">
      <c r="A21" s="20" t="s">
        <v>21</v>
      </c>
      <c r="B21" s="21" t="s">
        <v>1643</v>
      </c>
      <c r="C21" s="28" t="s">
        <v>34</v>
      </c>
      <c r="D21" s="66" t="s">
        <v>18</v>
      </c>
      <c r="E21" s="40" t="s">
        <v>101</v>
      </c>
      <c r="F21" s="22">
        <v>12000</v>
      </c>
      <c r="G21" s="22">
        <v>111600</v>
      </c>
      <c r="H21" s="23">
        <f>84000+12000</f>
        <v>96000</v>
      </c>
      <c r="I21" s="22">
        <f t="shared" si="1"/>
        <v>15600</v>
      </c>
      <c r="J21" s="22" t="s">
        <v>16</v>
      </c>
      <c r="K21" s="24"/>
      <c r="L21" s="25"/>
    </row>
    <row r="22" spans="1:12" ht="15.75" x14ac:dyDescent="0.25">
      <c r="A22" s="20" t="s">
        <v>14</v>
      </c>
      <c r="B22" s="21" t="s">
        <v>1649</v>
      </c>
      <c r="C22" s="28" t="s">
        <v>15</v>
      </c>
      <c r="D22" s="29" t="s">
        <v>1614</v>
      </c>
      <c r="E22" s="40" t="s">
        <v>1650</v>
      </c>
      <c r="F22" s="22">
        <f>1800+260</f>
        <v>2060</v>
      </c>
      <c r="G22" s="22">
        <v>3000</v>
      </c>
      <c r="H22" s="23">
        <v>3460</v>
      </c>
      <c r="I22" s="22">
        <f t="shared" si="0"/>
        <v>-460</v>
      </c>
      <c r="J22" s="22" t="s">
        <v>24</v>
      </c>
      <c r="K22" s="24"/>
      <c r="L22" s="25"/>
    </row>
    <row r="23" spans="1:12" ht="16.5" thickBot="1" x14ac:dyDescent="0.3">
      <c r="A23" s="43"/>
      <c r="B23" s="44"/>
      <c r="C23" s="45"/>
      <c r="D23" s="67"/>
      <c r="E23" s="47"/>
      <c r="F23" s="48"/>
      <c r="G23" s="62"/>
      <c r="H23" s="49"/>
      <c r="I23" s="48"/>
      <c r="J23" s="48"/>
      <c r="K23" s="50"/>
      <c r="L23" s="51"/>
    </row>
    <row r="24" spans="1:12" ht="16.5" thickBot="1" x14ac:dyDescent="0.3">
      <c r="A24" s="71"/>
      <c r="B24" s="72"/>
      <c r="C24" s="73"/>
      <c r="D24" s="74"/>
      <c r="E24" s="75"/>
      <c r="F24" s="76"/>
      <c r="G24" s="76"/>
      <c r="H24" s="77"/>
      <c r="I24" s="76"/>
      <c r="J24" s="76"/>
      <c r="K24" s="78"/>
      <c r="L24" s="79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2:L27"/>
  <sheetViews>
    <sheetView workbookViewId="0">
      <pane xSplit="3" topLeftCell="D1" activePane="topRight" state="frozen"/>
      <selection pane="topRight" activeCell="A20" sqref="A20:XFD20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1655</v>
      </c>
      <c r="C4" s="26" t="s">
        <v>70</v>
      </c>
      <c r="D4" s="65" t="s">
        <v>27</v>
      </c>
      <c r="E4" s="39" t="s">
        <v>222</v>
      </c>
      <c r="F4" s="16">
        <v>9349</v>
      </c>
      <c r="G4" s="16">
        <v>80000</v>
      </c>
      <c r="H4" s="17">
        <f>24000+9349</f>
        <v>33349</v>
      </c>
      <c r="I4" s="16">
        <f>G4-H4</f>
        <v>46651</v>
      </c>
      <c r="J4" s="16" t="s">
        <v>16</v>
      </c>
      <c r="K4" s="18"/>
      <c r="L4" s="19"/>
    </row>
    <row r="5" spans="1:12" ht="15.75" x14ac:dyDescent="0.25">
      <c r="A5" s="20" t="s">
        <v>40</v>
      </c>
      <c r="B5" s="21" t="s">
        <v>1456</v>
      </c>
      <c r="C5" s="28" t="s">
        <v>1586</v>
      </c>
      <c r="D5" s="66" t="s">
        <v>54</v>
      </c>
      <c r="E5" s="40" t="s">
        <v>59</v>
      </c>
      <c r="F5" s="22">
        <v>27000</v>
      </c>
      <c r="G5" s="22">
        <v>300000</v>
      </c>
      <c r="H5" s="23">
        <f>36000+27000</f>
        <v>63000</v>
      </c>
      <c r="I5" s="22">
        <f t="shared" ref="I5:I25" si="0">G5-H5</f>
        <v>237000</v>
      </c>
      <c r="J5" s="22" t="s">
        <v>16</v>
      </c>
      <c r="K5" s="24"/>
      <c r="L5" s="25"/>
    </row>
    <row r="6" spans="1:12" ht="15.75" x14ac:dyDescent="0.25">
      <c r="A6" s="20" t="s">
        <v>14</v>
      </c>
      <c r="B6" s="21" t="s">
        <v>1656</v>
      </c>
      <c r="C6" s="28" t="s">
        <v>1657</v>
      </c>
      <c r="D6" s="29" t="s">
        <v>27</v>
      </c>
      <c r="E6" s="40" t="s">
        <v>1658</v>
      </c>
      <c r="F6" s="22">
        <v>2310</v>
      </c>
      <c r="G6" s="22">
        <v>5000</v>
      </c>
      <c r="H6" s="23">
        <v>2310</v>
      </c>
      <c r="I6" s="22">
        <f t="shared" si="0"/>
        <v>2690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1537</v>
      </c>
      <c r="C7" s="28" t="s">
        <v>32</v>
      </c>
      <c r="D7" s="66" t="s">
        <v>18</v>
      </c>
      <c r="E7" s="40" t="s">
        <v>33</v>
      </c>
      <c r="F7" s="22">
        <v>2250</v>
      </c>
      <c r="G7" s="42">
        <v>10000</v>
      </c>
      <c r="H7" s="23">
        <f>400+2250</f>
        <v>2650</v>
      </c>
      <c r="I7" s="22">
        <f t="shared" si="0"/>
        <v>7350</v>
      </c>
      <c r="J7" s="22" t="s">
        <v>16</v>
      </c>
      <c r="K7" s="24"/>
      <c r="L7" s="25"/>
    </row>
    <row r="8" spans="1:12" ht="15.75" x14ac:dyDescent="0.25">
      <c r="A8" s="20" t="s">
        <v>19</v>
      </c>
      <c r="B8" s="21" t="s">
        <v>1645</v>
      </c>
      <c r="C8" s="28" t="s">
        <v>1646</v>
      </c>
      <c r="D8" s="66" t="s">
        <v>18</v>
      </c>
      <c r="E8" s="40" t="s">
        <v>49</v>
      </c>
      <c r="F8" s="22">
        <v>2740</v>
      </c>
      <c r="G8" s="22">
        <v>8000</v>
      </c>
      <c r="H8" s="23">
        <f>2000+3500+2740</f>
        <v>8240</v>
      </c>
      <c r="I8" s="22">
        <f t="shared" si="0"/>
        <v>-240</v>
      </c>
      <c r="J8" s="22" t="s">
        <v>24</v>
      </c>
      <c r="K8" s="24"/>
      <c r="L8" s="25"/>
    </row>
    <row r="9" spans="1:12" ht="15.75" x14ac:dyDescent="0.25">
      <c r="A9" s="20" t="s">
        <v>228</v>
      </c>
      <c r="B9" s="21" t="s">
        <v>1381</v>
      </c>
      <c r="C9" s="28" t="s">
        <v>15</v>
      </c>
      <c r="D9" s="66" t="s">
        <v>1099</v>
      </c>
      <c r="E9" s="40" t="s">
        <v>940</v>
      </c>
      <c r="F9" s="22">
        <v>60000</v>
      </c>
      <c r="G9" s="22">
        <v>1000000</v>
      </c>
      <c r="H9" s="23">
        <f>100000+200000+8000+60000</f>
        <v>368000</v>
      </c>
      <c r="I9" s="22">
        <f t="shared" si="0"/>
        <v>632000</v>
      </c>
      <c r="J9" s="22" t="s">
        <v>16</v>
      </c>
      <c r="K9" s="24"/>
      <c r="L9" s="25"/>
    </row>
    <row r="10" spans="1:12" ht="15.75" x14ac:dyDescent="0.25">
      <c r="A10" s="20" t="s">
        <v>40</v>
      </c>
      <c r="B10" s="21" t="s">
        <v>1456</v>
      </c>
      <c r="C10" s="28" t="s">
        <v>1586</v>
      </c>
      <c r="D10" s="66" t="s">
        <v>54</v>
      </c>
      <c r="E10" s="40" t="s">
        <v>59</v>
      </c>
      <c r="F10" s="22">
        <v>27000</v>
      </c>
      <c r="G10" s="22">
        <v>300000</v>
      </c>
      <c r="H10" s="23">
        <f>42000+3000+13000+31000+42000+27000</f>
        <v>158000</v>
      </c>
      <c r="I10" s="22">
        <f t="shared" si="0"/>
        <v>142000</v>
      </c>
      <c r="J10" s="22" t="s">
        <v>16</v>
      </c>
      <c r="K10" s="24"/>
      <c r="L10" s="25"/>
    </row>
    <row r="11" spans="1:12" ht="15.75" x14ac:dyDescent="0.25">
      <c r="A11" s="20" t="s">
        <v>22</v>
      </c>
      <c r="B11" s="21" t="s">
        <v>1660</v>
      </c>
      <c r="C11" s="28" t="s">
        <v>1661</v>
      </c>
      <c r="D11" s="66" t="s">
        <v>440</v>
      </c>
      <c r="E11" s="40" t="s">
        <v>1662</v>
      </c>
      <c r="F11" s="22">
        <v>189.6</v>
      </c>
      <c r="G11" s="22">
        <v>306.60000000000002</v>
      </c>
      <c r="H11" s="23">
        <f>86.8+189.6</f>
        <v>276.39999999999998</v>
      </c>
      <c r="I11" s="22">
        <f>G11-H11</f>
        <v>30.200000000000045</v>
      </c>
      <c r="J11" s="22" t="s">
        <v>16</v>
      </c>
      <c r="K11" s="24"/>
      <c r="L11" s="25"/>
    </row>
    <row r="12" spans="1:12" ht="15.75" x14ac:dyDescent="0.25">
      <c r="A12" s="20" t="s">
        <v>21</v>
      </c>
      <c r="B12" s="21" t="s">
        <v>1033</v>
      </c>
      <c r="C12" s="28" t="s">
        <v>15</v>
      </c>
      <c r="D12" s="66" t="s">
        <v>344</v>
      </c>
      <c r="E12" s="40" t="s">
        <v>345</v>
      </c>
      <c r="F12" s="22">
        <v>16000</v>
      </c>
      <c r="G12" s="22">
        <v>100000</v>
      </c>
      <c r="H12" s="23">
        <v>16000</v>
      </c>
      <c r="I12" s="22">
        <f>G12-H12</f>
        <v>84000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1670</v>
      </c>
      <c r="C13" s="28" t="s">
        <v>923</v>
      </c>
      <c r="D13" s="66" t="s">
        <v>18</v>
      </c>
      <c r="E13" s="40" t="s">
        <v>1671</v>
      </c>
      <c r="F13" s="22">
        <v>4000</v>
      </c>
      <c r="G13" s="22">
        <v>10000</v>
      </c>
      <c r="H13" s="23">
        <v>4000</v>
      </c>
      <c r="I13" s="22">
        <f>G13-H13</f>
        <v>6000</v>
      </c>
      <c r="J13" s="22" t="s">
        <v>16</v>
      </c>
      <c r="K13" s="24"/>
      <c r="L13" s="25"/>
    </row>
    <row r="14" spans="1:12" ht="15.75" x14ac:dyDescent="0.25">
      <c r="A14" s="20" t="s">
        <v>19</v>
      </c>
      <c r="B14" s="21" t="s">
        <v>1644</v>
      </c>
      <c r="C14" s="28" t="s">
        <v>1227</v>
      </c>
      <c r="D14" s="66" t="s">
        <v>18</v>
      </c>
      <c r="E14" s="40" t="s">
        <v>1376</v>
      </c>
      <c r="F14" s="22">
        <v>6500</v>
      </c>
      <c r="G14" s="22">
        <v>12000</v>
      </c>
      <c r="H14" s="23">
        <v>9500</v>
      </c>
      <c r="I14" s="22">
        <f>G14-H14</f>
        <v>2500</v>
      </c>
      <c r="J14" s="22" t="s">
        <v>16</v>
      </c>
      <c r="K14" s="24"/>
      <c r="L14" s="25"/>
    </row>
    <row r="15" spans="1:12" ht="15.75" x14ac:dyDescent="0.25">
      <c r="A15" s="20" t="s">
        <v>22</v>
      </c>
      <c r="B15" s="21" t="s">
        <v>1589</v>
      </c>
      <c r="C15" s="28" t="s">
        <v>115</v>
      </c>
      <c r="D15" s="66" t="s">
        <v>43</v>
      </c>
      <c r="E15" s="40" t="s">
        <v>38</v>
      </c>
      <c r="F15" s="22">
        <v>539.1</v>
      </c>
      <c r="G15" s="22">
        <v>1000</v>
      </c>
      <c r="H15" s="23">
        <v>539.1</v>
      </c>
      <c r="I15" s="22">
        <f>G15-H15</f>
        <v>460.9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1642</v>
      </c>
      <c r="C16" s="28" t="s">
        <v>34</v>
      </c>
      <c r="D16" s="66" t="s">
        <v>18</v>
      </c>
      <c r="E16" s="40" t="s">
        <v>127</v>
      </c>
      <c r="F16" s="22">
        <f>6000+8250</f>
        <v>14250</v>
      </c>
      <c r="G16" s="42">
        <v>75000</v>
      </c>
      <c r="H16" s="23">
        <v>14250</v>
      </c>
      <c r="I16" s="22">
        <f t="shared" si="0"/>
        <v>60750</v>
      </c>
      <c r="J16" s="22" t="s">
        <v>16</v>
      </c>
      <c r="K16" s="24"/>
      <c r="L16" s="25"/>
    </row>
    <row r="17" spans="1:12" ht="15.75" x14ac:dyDescent="0.25">
      <c r="A17" s="20" t="s">
        <v>44</v>
      </c>
      <c r="B17" s="21" t="s">
        <v>1381</v>
      </c>
      <c r="C17" s="28" t="s">
        <v>15</v>
      </c>
      <c r="D17" s="29" t="s">
        <v>1613</v>
      </c>
      <c r="E17" s="40" t="s">
        <v>207</v>
      </c>
      <c r="F17" s="22">
        <v>10000</v>
      </c>
      <c r="G17" s="22">
        <v>500000</v>
      </c>
      <c r="H17" s="23">
        <f>58400+6550+18000+10000</f>
        <v>92950</v>
      </c>
      <c r="I17" s="22">
        <f t="shared" si="0"/>
        <v>407050</v>
      </c>
      <c r="J17" s="22" t="s">
        <v>16</v>
      </c>
      <c r="K17" s="24"/>
      <c r="L17" s="25"/>
    </row>
    <row r="18" spans="1:12" ht="15.75" x14ac:dyDescent="0.25">
      <c r="A18" s="20" t="s">
        <v>963</v>
      </c>
      <c r="B18" s="21" t="s">
        <v>1489</v>
      </c>
      <c r="C18" s="28" t="s">
        <v>15</v>
      </c>
      <c r="D18" s="29" t="s">
        <v>1635</v>
      </c>
      <c r="E18" s="40" t="s">
        <v>966</v>
      </c>
      <c r="F18" s="22">
        <v>52</v>
      </c>
      <c r="G18" s="22">
        <v>1000</v>
      </c>
      <c r="H18" s="23">
        <f>592+54+52</f>
        <v>698</v>
      </c>
      <c r="I18" s="22">
        <f t="shared" si="0"/>
        <v>302</v>
      </c>
      <c r="J18" s="22" t="s">
        <v>16</v>
      </c>
      <c r="K18" s="24"/>
      <c r="L18" s="25"/>
    </row>
    <row r="19" spans="1:12" ht="15.75" x14ac:dyDescent="0.25">
      <c r="A19" s="20" t="s">
        <v>231</v>
      </c>
      <c r="B19" s="21" t="s">
        <v>1579</v>
      </c>
      <c r="C19" s="28" t="s">
        <v>1616</v>
      </c>
      <c r="D19" s="29" t="s">
        <v>240</v>
      </c>
      <c r="E19" s="40" t="s">
        <v>1581</v>
      </c>
      <c r="F19" s="22">
        <v>94.15</v>
      </c>
      <c r="G19" s="22">
        <v>30000</v>
      </c>
      <c r="H19" s="23">
        <f>2412.4+588+676.3+483.45+526.45+94.15</f>
        <v>4780.7499999999991</v>
      </c>
      <c r="I19" s="22">
        <f t="shared" si="0"/>
        <v>25219.25</v>
      </c>
      <c r="J19" s="22" t="s">
        <v>16</v>
      </c>
      <c r="K19" s="24"/>
      <c r="L19" s="25"/>
    </row>
    <row r="20" spans="1:12" ht="15.75" x14ac:dyDescent="0.25">
      <c r="A20" s="20" t="s">
        <v>231</v>
      </c>
      <c r="B20" s="21" t="s">
        <v>1664</v>
      </c>
      <c r="C20" s="28" t="s">
        <v>1616</v>
      </c>
      <c r="D20" s="66" t="s">
        <v>240</v>
      </c>
      <c r="E20" s="40" t="s">
        <v>1665</v>
      </c>
      <c r="F20" s="22">
        <v>188.85</v>
      </c>
      <c r="G20" s="22">
        <v>30000</v>
      </c>
      <c r="H20" s="23">
        <v>188.85</v>
      </c>
      <c r="I20" s="22">
        <f t="shared" si="0"/>
        <v>29811.15</v>
      </c>
      <c r="J20" s="22" t="s">
        <v>16</v>
      </c>
      <c r="K20" s="24"/>
      <c r="L20" s="25"/>
    </row>
    <row r="21" spans="1:12" ht="15.75" x14ac:dyDescent="0.25">
      <c r="A21" s="20" t="s">
        <v>30</v>
      </c>
      <c r="B21" s="21" t="s">
        <v>1666</v>
      </c>
      <c r="C21" s="28" t="s">
        <v>422</v>
      </c>
      <c r="D21" s="66" t="s">
        <v>48</v>
      </c>
      <c r="E21" s="40" t="s">
        <v>49</v>
      </c>
      <c r="F21" s="22">
        <v>20000</v>
      </c>
      <c r="G21" s="22">
        <v>200000</v>
      </c>
      <c r="H21" s="23">
        <v>38000</v>
      </c>
      <c r="I21" s="22">
        <f t="shared" si="0"/>
        <v>162000</v>
      </c>
      <c r="J21" s="22" t="s">
        <v>16</v>
      </c>
      <c r="K21" s="24"/>
      <c r="L21" s="25"/>
    </row>
    <row r="22" spans="1:12" ht="15.75" x14ac:dyDescent="0.25">
      <c r="A22" s="20" t="s">
        <v>17</v>
      </c>
      <c r="B22" s="21" t="s">
        <v>1667</v>
      </c>
      <c r="C22" s="28" t="s">
        <v>401</v>
      </c>
      <c r="D22" s="29" t="s">
        <v>18</v>
      </c>
      <c r="E22" s="40" t="s">
        <v>99</v>
      </c>
      <c r="F22" s="22">
        <v>1600</v>
      </c>
      <c r="G22" s="42">
        <v>5000</v>
      </c>
      <c r="H22" s="23">
        <v>1600</v>
      </c>
      <c r="I22" s="22">
        <f>G22-H22</f>
        <v>3400</v>
      </c>
      <c r="J22" s="22" t="s">
        <v>16</v>
      </c>
      <c r="K22" s="24"/>
      <c r="L22" s="25"/>
    </row>
    <row r="23" spans="1:12" ht="15.75" x14ac:dyDescent="0.25">
      <c r="A23" s="20" t="s">
        <v>21</v>
      </c>
      <c r="B23" s="21" t="s">
        <v>1653</v>
      </c>
      <c r="C23" s="28" t="s">
        <v>34</v>
      </c>
      <c r="D23" s="66" t="s">
        <v>18</v>
      </c>
      <c r="E23" s="40" t="s">
        <v>1654</v>
      </c>
      <c r="F23" s="22">
        <v>32070</v>
      </c>
      <c r="G23" s="42">
        <v>57000</v>
      </c>
      <c r="H23" s="23">
        <f>20000+32070</f>
        <v>52070</v>
      </c>
      <c r="I23" s="22">
        <f t="shared" ref="I23:I24" si="1">G23-H23</f>
        <v>4930</v>
      </c>
      <c r="J23" s="22" t="s">
        <v>16</v>
      </c>
      <c r="K23" s="24"/>
      <c r="L23" s="25"/>
    </row>
    <row r="24" spans="1:12" ht="15.75" x14ac:dyDescent="0.25">
      <c r="A24" s="20" t="s">
        <v>21</v>
      </c>
      <c r="B24" s="21" t="s">
        <v>1668</v>
      </c>
      <c r="C24" s="28" t="s">
        <v>34</v>
      </c>
      <c r="D24" s="66" t="s">
        <v>18</v>
      </c>
      <c r="E24" s="40" t="s">
        <v>1156</v>
      </c>
      <c r="F24" s="22">
        <v>20000</v>
      </c>
      <c r="G24" s="22">
        <v>200000</v>
      </c>
      <c r="H24" s="23">
        <v>38000</v>
      </c>
      <c r="I24" s="22">
        <f t="shared" si="1"/>
        <v>162000</v>
      </c>
      <c r="J24" s="22" t="s">
        <v>16</v>
      </c>
      <c r="K24" s="24"/>
      <c r="L24" s="25"/>
    </row>
    <row r="25" spans="1:12" ht="15.75" x14ac:dyDescent="0.25">
      <c r="A25" s="20" t="s">
        <v>14</v>
      </c>
      <c r="B25" s="21" t="s">
        <v>1669</v>
      </c>
      <c r="C25" s="28" t="s">
        <v>15</v>
      </c>
      <c r="D25" s="29" t="s">
        <v>1614</v>
      </c>
      <c r="E25" s="40" t="s">
        <v>220</v>
      </c>
      <c r="F25" s="22">
        <v>1500</v>
      </c>
      <c r="G25" s="22">
        <v>20000</v>
      </c>
      <c r="H25" s="23">
        <v>1500</v>
      </c>
      <c r="I25" s="22">
        <f t="shared" si="0"/>
        <v>18500</v>
      </c>
      <c r="J25" s="22" t="s">
        <v>16</v>
      </c>
      <c r="K25" s="24"/>
      <c r="L25" s="25"/>
    </row>
    <row r="26" spans="1:12" ht="16.5" thickBot="1" x14ac:dyDescent="0.3">
      <c r="A26" s="43"/>
      <c r="B26" s="44"/>
      <c r="C26" s="45"/>
      <c r="D26" s="67"/>
      <c r="E26" s="47"/>
      <c r="F26" s="48"/>
      <c r="G26" s="62"/>
      <c r="H26" s="49"/>
      <c r="I26" s="48"/>
      <c r="J26" s="48"/>
      <c r="K26" s="50"/>
      <c r="L26" s="51"/>
    </row>
    <row r="27" spans="1:12" ht="16.5" thickBot="1" x14ac:dyDescent="0.3">
      <c r="A27" s="71"/>
      <c r="B27" s="72"/>
      <c r="C27" s="73"/>
      <c r="D27" s="74"/>
      <c r="E27" s="75"/>
      <c r="F27" s="76"/>
      <c r="G27" s="76"/>
      <c r="H27" s="77"/>
      <c r="I27" s="76"/>
      <c r="J27" s="76"/>
      <c r="K27" s="78"/>
      <c r="L27" s="79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2:L25"/>
  <sheetViews>
    <sheetView workbookViewId="0">
      <pane xSplit="3" topLeftCell="D1" activePane="topRight" state="frozen"/>
      <selection pane="topRight" activeCell="A21" sqref="A21:XFD2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1628</v>
      </c>
      <c r="C4" s="26" t="s">
        <v>204</v>
      </c>
      <c r="D4" s="65" t="s">
        <v>43</v>
      </c>
      <c r="E4" s="39" t="s">
        <v>206</v>
      </c>
      <c r="F4" s="16">
        <v>102.5</v>
      </c>
      <c r="G4" s="16">
        <v>1000</v>
      </c>
      <c r="H4" s="17">
        <v>102.5</v>
      </c>
      <c r="I4" s="16">
        <f>G4-H4</f>
        <v>897.5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1676</v>
      </c>
      <c r="C5" s="28" t="s">
        <v>15</v>
      </c>
      <c r="D5" s="66" t="s">
        <v>18</v>
      </c>
      <c r="E5" s="40" t="s">
        <v>1547</v>
      </c>
      <c r="F5" s="22">
        <v>5380</v>
      </c>
      <c r="G5" s="22">
        <v>10000</v>
      </c>
      <c r="H5" s="23">
        <v>9380</v>
      </c>
      <c r="I5" s="22">
        <f t="shared" ref="I5:I23" si="0">G5-H5</f>
        <v>620</v>
      </c>
      <c r="J5" s="22" t="s">
        <v>16</v>
      </c>
      <c r="K5" s="24"/>
      <c r="L5" s="25"/>
    </row>
    <row r="6" spans="1:12" ht="15.75" x14ac:dyDescent="0.25">
      <c r="A6" s="20" t="s">
        <v>17</v>
      </c>
      <c r="B6" s="21" t="s">
        <v>1677</v>
      </c>
      <c r="C6" s="28" t="s">
        <v>1048</v>
      </c>
      <c r="D6" s="29" t="s">
        <v>73</v>
      </c>
      <c r="E6" s="40" t="s">
        <v>402</v>
      </c>
      <c r="F6" s="22">
        <v>2035</v>
      </c>
      <c r="G6" s="22">
        <v>2000</v>
      </c>
      <c r="H6" s="23">
        <v>2035</v>
      </c>
      <c r="I6" s="22">
        <f t="shared" si="0"/>
        <v>-35</v>
      </c>
      <c r="J6" s="22" t="s">
        <v>24</v>
      </c>
      <c r="K6" s="24"/>
      <c r="L6" s="25"/>
    </row>
    <row r="7" spans="1:12" ht="15.75" x14ac:dyDescent="0.25">
      <c r="A7" s="20" t="s">
        <v>30</v>
      </c>
      <c r="B7" s="21" t="s">
        <v>1666</v>
      </c>
      <c r="C7" s="28" t="s">
        <v>1678</v>
      </c>
      <c r="D7" s="66" t="s">
        <v>1271</v>
      </c>
      <c r="E7" s="40" t="s">
        <v>1679</v>
      </c>
      <c r="F7" s="22">
        <v>9700</v>
      </c>
      <c r="G7" s="42">
        <v>50000</v>
      </c>
      <c r="H7" s="23">
        <v>9700</v>
      </c>
      <c r="I7" s="22">
        <f t="shared" si="0"/>
        <v>40300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1681</v>
      </c>
      <c r="C8" s="28" t="s">
        <v>1682</v>
      </c>
      <c r="D8" s="66" t="s">
        <v>686</v>
      </c>
      <c r="E8" s="40" t="s">
        <v>351</v>
      </c>
      <c r="F8" s="22">
        <v>44.6</v>
      </c>
      <c r="G8" s="22">
        <v>100</v>
      </c>
      <c r="H8" s="23">
        <v>44.6</v>
      </c>
      <c r="I8" s="22">
        <f t="shared" si="0"/>
        <v>55.4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1680</v>
      </c>
      <c r="C9" s="28" t="s">
        <v>15</v>
      </c>
      <c r="D9" s="66" t="s">
        <v>1099</v>
      </c>
      <c r="E9" s="40" t="s">
        <v>940</v>
      </c>
      <c r="F9" s="22">
        <v>180000</v>
      </c>
      <c r="G9" s="22">
        <v>1000000</v>
      </c>
      <c r="H9" s="23">
        <f>100000+200000+8000+60000+180000</f>
        <v>548000</v>
      </c>
      <c r="I9" s="22">
        <f t="shared" si="0"/>
        <v>452000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1033</v>
      </c>
      <c r="C10" s="28" t="s">
        <v>15</v>
      </c>
      <c r="D10" s="66" t="s">
        <v>344</v>
      </c>
      <c r="E10" s="40" t="s">
        <v>345</v>
      </c>
      <c r="F10" s="22">
        <v>16200</v>
      </c>
      <c r="G10" s="22">
        <v>100000</v>
      </c>
      <c r="H10" s="23">
        <f>16000+16200</f>
        <v>32200</v>
      </c>
      <c r="I10" s="22">
        <f>G10-H10</f>
        <v>67800</v>
      </c>
      <c r="J10" s="22" t="s">
        <v>16</v>
      </c>
      <c r="K10" s="24"/>
      <c r="L10" s="25"/>
    </row>
    <row r="11" spans="1:12" ht="15.75" x14ac:dyDescent="0.25">
      <c r="A11" s="20" t="s">
        <v>22</v>
      </c>
      <c r="B11" s="21" t="s">
        <v>1670</v>
      </c>
      <c r="C11" s="28" t="s">
        <v>923</v>
      </c>
      <c r="D11" s="66" t="s">
        <v>18</v>
      </c>
      <c r="E11" s="40" t="s">
        <v>1671</v>
      </c>
      <c r="F11" s="22">
        <v>5380</v>
      </c>
      <c r="G11" s="22">
        <v>10000</v>
      </c>
      <c r="H11" s="23">
        <f>4000+5380</f>
        <v>9380</v>
      </c>
      <c r="I11" s="22">
        <f>G11-H11</f>
        <v>620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1673</v>
      </c>
      <c r="C12" s="28" t="s">
        <v>529</v>
      </c>
      <c r="D12" s="66" t="s">
        <v>1286</v>
      </c>
      <c r="E12" s="40" t="s">
        <v>351</v>
      </c>
      <c r="F12" s="22">
        <v>214.3</v>
      </c>
      <c r="G12" s="22">
        <v>500</v>
      </c>
      <c r="H12" s="23">
        <v>214.3</v>
      </c>
      <c r="I12" s="22">
        <f>G12-H12</f>
        <v>285.7</v>
      </c>
      <c r="J12" s="22" t="s">
        <v>16</v>
      </c>
      <c r="K12" s="24"/>
      <c r="L12" s="25"/>
    </row>
    <row r="13" spans="1:12" ht="15.75" x14ac:dyDescent="0.25">
      <c r="A13" s="20" t="s">
        <v>22</v>
      </c>
      <c r="B13" s="21" t="s">
        <v>1589</v>
      </c>
      <c r="C13" s="28" t="s">
        <v>115</v>
      </c>
      <c r="D13" s="66" t="s">
        <v>43</v>
      </c>
      <c r="E13" s="40" t="s">
        <v>38</v>
      </c>
      <c r="F13" s="22">
        <v>148.5</v>
      </c>
      <c r="G13" s="22">
        <v>1000</v>
      </c>
      <c r="H13" s="23">
        <f>539.1+148.5</f>
        <v>687.6</v>
      </c>
      <c r="I13" s="22">
        <f>G13-H13</f>
        <v>312.39999999999998</v>
      </c>
      <c r="J13" s="22" t="s">
        <v>16</v>
      </c>
      <c r="K13" s="24"/>
      <c r="L13" s="25"/>
    </row>
    <row r="14" spans="1:12" ht="15.75" x14ac:dyDescent="0.25">
      <c r="A14" s="20" t="s">
        <v>14</v>
      </c>
      <c r="B14" s="21" t="s">
        <v>1642</v>
      </c>
      <c r="C14" s="28" t="s">
        <v>34</v>
      </c>
      <c r="D14" s="66" t="s">
        <v>18</v>
      </c>
      <c r="E14" s="40" t="s">
        <v>127</v>
      </c>
      <c r="F14" s="22">
        <v>4200</v>
      </c>
      <c r="G14" s="42">
        <v>75000</v>
      </c>
      <c r="H14" s="23">
        <f>14250+4200</f>
        <v>18450</v>
      </c>
      <c r="I14" s="22">
        <f t="shared" si="0"/>
        <v>56550</v>
      </c>
      <c r="J14" s="22" t="s">
        <v>16</v>
      </c>
      <c r="K14" s="24"/>
      <c r="L14" s="25"/>
    </row>
    <row r="15" spans="1:12" ht="15.75" x14ac:dyDescent="0.25">
      <c r="A15" s="20" t="s">
        <v>44</v>
      </c>
      <c r="B15" s="21" t="s">
        <v>1381</v>
      </c>
      <c r="C15" s="28" t="s">
        <v>15</v>
      </c>
      <c r="D15" s="29" t="s">
        <v>1613</v>
      </c>
      <c r="E15" s="40" t="s">
        <v>207</v>
      </c>
      <c r="F15" s="22">
        <v>47000</v>
      </c>
      <c r="G15" s="22">
        <v>500000</v>
      </c>
      <c r="H15" s="23">
        <f>58400+6550+18000+10000+47000</f>
        <v>139950</v>
      </c>
      <c r="I15" s="22">
        <f t="shared" si="0"/>
        <v>360050</v>
      </c>
      <c r="J15" s="22" t="s">
        <v>16</v>
      </c>
      <c r="K15" s="24"/>
      <c r="L15" s="25"/>
    </row>
    <row r="16" spans="1:12" ht="15.75" x14ac:dyDescent="0.25">
      <c r="A16" s="20" t="s">
        <v>963</v>
      </c>
      <c r="B16" s="21" t="s">
        <v>1489</v>
      </c>
      <c r="C16" s="28" t="s">
        <v>15</v>
      </c>
      <c r="D16" s="29" t="s">
        <v>1635</v>
      </c>
      <c r="E16" s="40" t="s">
        <v>966</v>
      </c>
      <c r="F16" s="22">
        <v>46</v>
      </c>
      <c r="G16" s="22">
        <v>1000</v>
      </c>
      <c r="H16" s="23">
        <f>592+54+52+46</f>
        <v>744</v>
      </c>
      <c r="I16" s="22">
        <f t="shared" si="0"/>
        <v>256</v>
      </c>
      <c r="J16" s="22" t="s">
        <v>16</v>
      </c>
      <c r="K16" s="24"/>
      <c r="L16" s="25"/>
    </row>
    <row r="17" spans="1:12" ht="15.75" x14ac:dyDescent="0.25">
      <c r="A17" s="20" t="s">
        <v>21</v>
      </c>
      <c r="B17" s="21" t="s">
        <v>1584</v>
      </c>
      <c r="C17" s="28" t="s">
        <v>800</v>
      </c>
      <c r="D17" s="29" t="s">
        <v>18</v>
      </c>
      <c r="E17" s="40" t="s">
        <v>1674</v>
      </c>
      <c r="F17" s="22">
        <f>28000+1000</f>
        <v>29000</v>
      </c>
      <c r="G17" s="22">
        <v>47000</v>
      </c>
      <c r="H17" s="23">
        <v>29000</v>
      </c>
      <c r="I17" s="22">
        <f t="shared" si="0"/>
        <v>18000</v>
      </c>
      <c r="J17" s="22" t="s">
        <v>16</v>
      </c>
      <c r="K17" s="24"/>
      <c r="L17" s="25"/>
    </row>
    <row r="18" spans="1:12" ht="15.75" x14ac:dyDescent="0.25">
      <c r="A18" s="20" t="s">
        <v>22</v>
      </c>
      <c r="B18" s="21" t="s">
        <v>1675</v>
      </c>
      <c r="C18" s="28" t="s">
        <v>696</v>
      </c>
      <c r="D18" s="66" t="s">
        <v>43</v>
      </c>
      <c r="E18" s="40" t="s">
        <v>38</v>
      </c>
      <c r="F18" s="22">
        <v>186.4</v>
      </c>
      <c r="G18" s="22">
        <v>1000</v>
      </c>
      <c r="H18" s="23">
        <v>186.4</v>
      </c>
      <c r="I18" s="22">
        <f t="shared" si="0"/>
        <v>813.6</v>
      </c>
      <c r="J18" s="22" t="s">
        <v>16</v>
      </c>
      <c r="K18" s="24"/>
      <c r="L18" s="25"/>
    </row>
    <row r="19" spans="1:12" ht="15.75" x14ac:dyDescent="0.25">
      <c r="A19" s="20" t="s">
        <v>30</v>
      </c>
      <c r="B19" s="21" t="s">
        <v>1666</v>
      </c>
      <c r="C19" s="28" t="s">
        <v>422</v>
      </c>
      <c r="D19" s="66" t="s">
        <v>48</v>
      </c>
      <c r="E19" s="40" t="s">
        <v>49</v>
      </c>
      <c r="F19" s="22">
        <v>16000</v>
      </c>
      <c r="G19" s="22">
        <v>200000</v>
      </c>
      <c r="H19" s="23">
        <f>38000+16000</f>
        <v>54000</v>
      </c>
      <c r="I19" s="22">
        <f t="shared" si="0"/>
        <v>146000</v>
      </c>
      <c r="J19" s="22" t="s">
        <v>16</v>
      </c>
      <c r="K19" s="24"/>
      <c r="L19" s="25"/>
    </row>
    <row r="20" spans="1:12" ht="15.75" x14ac:dyDescent="0.25">
      <c r="A20" s="20" t="s">
        <v>17</v>
      </c>
      <c r="B20" s="21" t="s">
        <v>1667</v>
      </c>
      <c r="C20" s="28" t="s">
        <v>401</v>
      </c>
      <c r="D20" s="29" t="s">
        <v>18</v>
      </c>
      <c r="E20" s="40" t="s">
        <v>99</v>
      </c>
      <c r="F20" s="22">
        <v>28000</v>
      </c>
      <c r="G20" s="42">
        <v>47000</v>
      </c>
      <c r="H20" s="23">
        <f>1600+28000</f>
        <v>29600</v>
      </c>
      <c r="I20" s="22">
        <f>G20-H20</f>
        <v>17400</v>
      </c>
      <c r="J20" s="22" t="s">
        <v>16</v>
      </c>
      <c r="K20" s="24"/>
      <c r="L20" s="25"/>
    </row>
    <row r="21" spans="1:12" ht="15.75" x14ac:dyDescent="0.25">
      <c r="A21" s="20" t="s">
        <v>14</v>
      </c>
      <c r="B21" s="21" t="s">
        <v>1672</v>
      </c>
      <c r="C21" s="28" t="s">
        <v>34</v>
      </c>
      <c r="D21" s="66" t="s">
        <v>18</v>
      </c>
      <c r="E21" s="40" t="s">
        <v>1196</v>
      </c>
      <c r="F21" s="22">
        <v>5000</v>
      </c>
      <c r="G21" s="42">
        <v>150000</v>
      </c>
      <c r="H21" s="23">
        <v>5000</v>
      </c>
      <c r="I21" s="22">
        <f t="shared" ref="I21:I22" si="1">G21-H21</f>
        <v>145000</v>
      </c>
      <c r="J21" s="22" t="s">
        <v>16</v>
      </c>
      <c r="K21" s="24"/>
      <c r="L21" s="25"/>
    </row>
    <row r="22" spans="1:12" ht="15.75" x14ac:dyDescent="0.25">
      <c r="A22" s="20" t="s">
        <v>22</v>
      </c>
      <c r="B22" s="21" t="s">
        <v>1633</v>
      </c>
      <c r="C22" s="28" t="s">
        <v>1217</v>
      </c>
      <c r="D22" s="66" t="s">
        <v>92</v>
      </c>
      <c r="E22" s="40" t="s">
        <v>38</v>
      </c>
      <c r="F22" s="22">
        <v>68.599999999999994</v>
      </c>
      <c r="G22" s="22">
        <v>1000</v>
      </c>
      <c r="H22" s="23">
        <v>68.599999999999994</v>
      </c>
      <c r="I22" s="22">
        <f t="shared" si="1"/>
        <v>931.4</v>
      </c>
      <c r="J22" s="22" t="s">
        <v>16</v>
      </c>
      <c r="K22" s="24"/>
      <c r="L22" s="25"/>
    </row>
    <row r="23" spans="1:12" ht="15.75" x14ac:dyDescent="0.25">
      <c r="A23" s="20" t="s">
        <v>14</v>
      </c>
      <c r="B23" s="21" t="s">
        <v>1669</v>
      </c>
      <c r="C23" s="28" t="s">
        <v>15</v>
      </c>
      <c r="D23" s="29" t="s">
        <v>1614</v>
      </c>
      <c r="E23" s="40" t="s">
        <v>220</v>
      </c>
      <c r="F23" s="22">
        <v>1000</v>
      </c>
      <c r="G23" s="22">
        <v>20000</v>
      </c>
      <c r="H23" s="23">
        <f>1500+1000</f>
        <v>2500</v>
      </c>
      <c r="I23" s="22">
        <f t="shared" si="0"/>
        <v>17500</v>
      </c>
      <c r="J23" s="22" t="s">
        <v>16</v>
      </c>
      <c r="K23" s="24"/>
      <c r="L23" s="25"/>
    </row>
    <row r="24" spans="1:12" ht="16.5" thickBot="1" x14ac:dyDescent="0.3">
      <c r="A24" s="43"/>
      <c r="B24" s="44"/>
      <c r="C24" s="45"/>
      <c r="D24" s="67"/>
      <c r="E24" s="47"/>
      <c r="F24" s="48"/>
      <c r="G24" s="62"/>
      <c r="H24" s="49"/>
      <c r="I24" s="48"/>
      <c r="J24" s="48"/>
      <c r="K24" s="50"/>
      <c r="L24" s="51"/>
    </row>
    <row r="25" spans="1:12" ht="16.5" thickBot="1" x14ac:dyDescent="0.3">
      <c r="A25" s="71"/>
      <c r="B25" s="72"/>
      <c r="C25" s="73"/>
      <c r="D25" s="74"/>
      <c r="E25" s="75"/>
      <c r="F25" s="76"/>
      <c r="G25" s="76"/>
      <c r="H25" s="77"/>
      <c r="I25" s="76"/>
      <c r="J25" s="76"/>
      <c r="K25" s="78"/>
      <c r="L25" s="79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2:L32"/>
  <sheetViews>
    <sheetView topLeftCell="A4" workbookViewId="0">
      <pane xSplit="3" topLeftCell="E1" activePane="topRight" state="frozen"/>
      <selection pane="topRight" activeCell="A21" sqref="A21:XFD2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20</v>
      </c>
      <c r="B4" s="15" t="s">
        <v>1687</v>
      </c>
      <c r="C4" s="26" t="s">
        <v>530</v>
      </c>
      <c r="D4" s="65" t="s">
        <v>42</v>
      </c>
      <c r="E4" s="39" t="s">
        <v>470</v>
      </c>
      <c r="F4" s="16">
        <v>3500</v>
      </c>
      <c r="G4" s="16">
        <v>30000</v>
      </c>
      <c r="H4" s="17">
        <v>3500</v>
      </c>
      <c r="I4" s="16">
        <f>G4-H4</f>
        <v>26500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1537</v>
      </c>
      <c r="C5" s="28" t="s">
        <v>32</v>
      </c>
      <c r="D5" s="66" t="s">
        <v>18</v>
      </c>
      <c r="E5" s="40" t="s">
        <v>33</v>
      </c>
      <c r="F5" s="22">
        <f>1800+850</f>
        <v>2650</v>
      </c>
      <c r="G5" s="42">
        <v>10000</v>
      </c>
      <c r="H5" s="23">
        <f>400+2250+1800+850</f>
        <v>5300</v>
      </c>
      <c r="I5" s="22">
        <f t="shared" ref="I5" si="0">G5-H5</f>
        <v>4700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1688</v>
      </c>
      <c r="C6" s="28" t="s">
        <v>929</v>
      </c>
      <c r="D6" s="29" t="s">
        <v>225</v>
      </c>
      <c r="E6" s="40" t="s">
        <v>38</v>
      </c>
      <c r="F6" s="22">
        <v>480.3</v>
      </c>
      <c r="G6" s="22">
        <v>1000</v>
      </c>
      <c r="H6" s="23">
        <v>480.3</v>
      </c>
      <c r="I6" s="22">
        <f t="shared" ref="I6:I30" si="1">G6-H6</f>
        <v>519.70000000000005</v>
      </c>
      <c r="J6" s="22" t="s">
        <v>16</v>
      </c>
      <c r="K6" s="24"/>
      <c r="L6" s="25"/>
    </row>
    <row r="7" spans="1:12" ht="15.75" x14ac:dyDescent="0.25">
      <c r="A7" s="20" t="s">
        <v>30</v>
      </c>
      <c r="B7" s="21" t="s">
        <v>1666</v>
      </c>
      <c r="C7" s="28" t="s">
        <v>1678</v>
      </c>
      <c r="D7" s="66" t="s">
        <v>1271</v>
      </c>
      <c r="E7" s="40" t="s">
        <v>1679</v>
      </c>
      <c r="F7" s="22">
        <v>8000</v>
      </c>
      <c r="G7" s="42">
        <v>50000</v>
      </c>
      <c r="H7" s="23">
        <f>9700+8000</f>
        <v>17700</v>
      </c>
      <c r="I7" s="22">
        <f t="shared" si="1"/>
        <v>32300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1642</v>
      </c>
      <c r="C8" s="28" t="s">
        <v>34</v>
      </c>
      <c r="D8" s="66" t="s">
        <v>18</v>
      </c>
      <c r="E8" s="40" t="s">
        <v>127</v>
      </c>
      <c r="F8" s="22">
        <v>7750</v>
      </c>
      <c r="G8" s="42">
        <v>75000</v>
      </c>
      <c r="H8" s="23">
        <f>14250+4200+7750</f>
        <v>26200</v>
      </c>
      <c r="I8" s="22">
        <f t="shared" si="1"/>
        <v>48800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1672</v>
      </c>
      <c r="C9" s="28" t="s">
        <v>34</v>
      </c>
      <c r="D9" s="66" t="s">
        <v>18</v>
      </c>
      <c r="E9" s="40" t="s">
        <v>1196</v>
      </c>
      <c r="F9" s="22">
        <v>15750</v>
      </c>
      <c r="G9" s="42">
        <v>150000</v>
      </c>
      <c r="H9" s="23">
        <f>5000+15750</f>
        <v>20750</v>
      </c>
      <c r="I9" s="22">
        <f t="shared" si="1"/>
        <v>129250</v>
      </c>
      <c r="J9" s="22" t="s">
        <v>16</v>
      </c>
      <c r="K9" s="24"/>
      <c r="L9" s="25"/>
    </row>
    <row r="10" spans="1:12" ht="15.75" x14ac:dyDescent="0.25">
      <c r="A10" s="20" t="s">
        <v>14</v>
      </c>
      <c r="B10" s="21" t="s">
        <v>1697</v>
      </c>
      <c r="C10" s="28" t="s">
        <v>1698</v>
      </c>
      <c r="D10" s="66" t="s">
        <v>18</v>
      </c>
      <c r="E10" s="40" t="s">
        <v>1699</v>
      </c>
      <c r="F10" s="22">
        <v>7200</v>
      </c>
      <c r="G10" s="22">
        <v>7000</v>
      </c>
      <c r="H10" s="23">
        <v>7200</v>
      </c>
      <c r="I10" s="22">
        <f t="shared" si="1"/>
        <v>-200</v>
      </c>
      <c r="J10" s="22" t="s">
        <v>24</v>
      </c>
      <c r="K10" s="24"/>
      <c r="L10" s="25"/>
    </row>
    <row r="11" spans="1:12" ht="15.75" x14ac:dyDescent="0.25">
      <c r="A11" s="20" t="s">
        <v>228</v>
      </c>
      <c r="B11" s="21" t="s">
        <v>1680</v>
      </c>
      <c r="C11" s="28" t="s">
        <v>15</v>
      </c>
      <c r="D11" s="66" t="s">
        <v>1099</v>
      </c>
      <c r="E11" s="40" t="s">
        <v>940</v>
      </c>
      <c r="F11" s="22">
        <f>280000+220000</f>
        <v>500000</v>
      </c>
      <c r="G11" s="22">
        <v>1000000</v>
      </c>
      <c r="H11" s="23">
        <f>100000+200000+8000+60000+180000+500000</f>
        <v>1048000</v>
      </c>
      <c r="I11" s="22">
        <f t="shared" si="1"/>
        <v>-48000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1318</v>
      </c>
      <c r="C12" s="28" t="s">
        <v>88</v>
      </c>
      <c r="D12" s="66" t="s">
        <v>89</v>
      </c>
      <c r="E12" s="40" t="s">
        <v>90</v>
      </c>
      <c r="F12" s="22">
        <f>288.8+84.8</f>
        <v>373.6</v>
      </c>
      <c r="G12" s="22">
        <v>1000</v>
      </c>
      <c r="H12" s="23">
        <f>373.6</f>
        <v>373.6</v>
      </c>
      <c r="I12" s="22">
        <f t="shared" si="1"/>
        <v>626.4</v>
      </c>
      <c r="J12" s="22" t="s">
        <v>16</v>
      </c>
      <c r="K12" s="24"/>
      <c r="L12" s="25"/>
    </row>
    <row r="13" spans="1:12" ht="15.75" x14ac:dyDescent="0.25">
      <c r="A13" s="20" t="s">
        <v>228</v>
      </c>
      <c r="B13" s="21" t="s">
        <v>1630</v>
      </c>
      <c r="C13" s="28" t="s">
        <v>41</v>
      </c>
      <c r="D13" s="29" t="s">
        <v>1631</v>
      </c>
      <c r="E13" s="40" t="s">
        <v>819</v>
      </c>
      <c r="F13" s="22">
        <v>43550</v>
      </c>
      <c r="G13" s="42">
        <v>100000</v>
      </c>
      <c r="H13" s="23">
        <f>34000+42000+13880+43550</f>
        <v>133430</v>
      </c>
      <c r="I13" s="22">
        <f t="shared" ref="I13:I18" si="2">G13-H13</f>
        <v>-33430</v>
      </c>
      <c r="J13" s="22" t="s">
        <v>24</v>
      </c>
      <c r="K13" s="24"/>
      <c r="L13" s="25"/>
    </row>
    <row r="14" spans="1:12" ht="15.75" x14ac:dyDescent="0.25">
      <c r="A14" s="20" t="s">
        <v>22</v>
      </c>
      <c r="B14" s="21" t="s">
        <v>1689</v>
      </c>
      <c r="C14" s="28" t="s">
        <v>88</v>
      </c>
      <c r="D14" s="66" t="s">
        <v>92</v>
      </c>
      <c r="E14" s="40" t="s">
        <v>90</v>
      </c>
      <c r="F14" s="22">
        <f>603.4+288.8</f>
        <v>892.2</v>
      </c>
      <c r="G14" s="22">
        <v>1000</v>
      </c>
      <c r="H14" s="23">
        <v>892.2</v>
      </c>
      <c r="I14" s="22">
        <f t="shared" si="2"/>
        <v>107.79999999999995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1544</v>
      </c>
      <c r="C15" s="28" t="s">
        <v>15</v>
      </c>
      <c r="D15" s="66" t="s">
        <v>344</v>
      </c>
      <c r="E15" s="40" t="s">
        <v>345</v>
      </c>
      <c r="F15" s="22">
        <f>4000+20000</f>
        <v>24000</v>
      </c>
      <c r="G15" s="22">
        <v>100000</v>
      </c>
      <c r="H15" s="23">
        <f>16000+16200+4000+24000</f>
        <v>60200</v>
      </c>
      <c r="I15" s="22">
        <f t="shared" si="2"/>
        <v>39800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1694</v>
      </c>
      <c r="C16" s="28" t="s">
        <v>1695</v>
      </c>
      <c r="D16" s="66" t="s">
        <v>18</v>
      </c>
      <c r="E16" s="40" t="s">
        <v>1696</v>
      </c>
      <c r="F16" s="22">
        <v>4900</v>
      </c>
      <c r="G16" s="22">
        <v>5000</v>
      </c>
      <c r="H16" s="23">
        <v>4900</v>
      </c>
      <c r="I16" s="22">
        <f t="shared" si="2"/>
        <v>100</v>
      </c>
      <c r="J16" s="22" t="s">
        <v>16</v>
      </c>
      <c r="K16" s="24"/>
      <c r="L16" s="25"/>
    </row>
    <row r="17" spans="1:12" ht="15.75" x14ac:dyDescent="0.25">
      <c r="A17" s="20" t="s">
        <v>22</v>
      </c>
      <c r="B17" s="21" t="s">
        <v>1673</v>
      </c>
      <c r="C17" s="28" t="s">
        <v>529</v>
      </c>
      <c r="D17" s="66" t="s">
        <v>1286</v>
      </c>
      <c r="E17" s="40" t="s">
        <v>351</v>
      </c>
      <c r="F17" s="22">
        <f>97.1+245.7</f>
        <v>342.79999999999995</v>
      </c>
      <c r="G17" s="22">
        <v>500</v>
      </c>
      <c r="H17" s="23">
        <f>214.3+342.8</f>
        <v>557.1</v>
      </c>
      <c r="I17" s="22">
        <f t="shared" si="2"/>
        <v>-57.100000000000023</v>
      </c>
      <c r="J17" s="22" t="s">
        <v>24</v>
      </c>
      <c r="K17" s="24"/>
      <c r="L17" s="25"/>
    </row>
    <row r="18" spans="1:12" ht="15.75" x14ac:dyDescent="0.25">
      <c r="A18" s="20" t="s">
        <v>22</v>
      </c>
      <c r="B18" s="21" t="s">
        <v>1683</v>
      </c>
      <c r="C18" s="28" t="s">
        <v>115</v>
      </c>
      <c r="D18" s="66" t="s">
        <v>43</v>
      </c>
      <c r="E18" s="40" t="s">
        <v>38</v>
      </c>
      <c r="F18" s="22">
        <v>1004.4</v>
      </c>
      <c r="G18" s="22">
        <v>1000</v>
      </c>
      <c r="H18" s="23">
        <v>1004.4</v>
      </c>
      <c r="I18" s="22">
        <f t="shared" si="2"/>
        <v>-4.3999999999999773</v>
      </c>
      <c r="J18" s="22" t="s">
        <v>23</v>
      </c>
      <c r="K18" s="24"/>
      <c r="L18" s="25"/>
    </row>
    <row r="19" spans="1:12" ht="15.75" x14ac:dyDescent="0.25">
      <c r="A19" s="20" t="s">
        <v>44</v>
      </c>
      <c r="B19" s="21" t="s">
        <v>1693</v>
      </c>
      <c r="C19" s="28" t="s">
        <v>15</v>
      </c>
      <c r="D19" s="66" t="s">
        <v>693</v>
      </c>
      <c r="E19" s="40" t="s">
        <v>207</v>
      </c>
      <c r="F19" s="22">
        <v>22000</v>
      </c>
      <c r="G19" s="42">
        <v>50000</v>
      </c>
      <c r="H19" s="23">
        <v>22000</v>
      </c>
      <c r="I19" s="22">
        <f t="shared" si="1"/>
        <v>28000</v>
      </c>
      <c r="J19" s="22" t="s">
        <v>16</v>
      </c>
      <c r="K19" s="24"/>
      <c r="L19" s="25"/>
    </row>
    <row r="20" spans="1:12" ht="15.75" x14ac:dyDescent="0.25">
      <c r="A20" s="20" t="s">
        <v>231</v>
      </c>
      <c r="B20" s="21" t="s">
        <v>1664</v>
      </c>
      <c r="C20" s="28" t="s">
        <v>1616</v>
      </c>
      <c r="D20" s="66" t="s">
        <v>240</v>
      </c>
      <c r="E20" s="40" t="s">
        <v>1665</v>
      </c>
      <c r="F20" s="22">
        <v>3016.25</v>
      </c>
      <c r="G20" s="22">
        <v>30000</v>
      </c>
      <c r="H20" s="23">
        <f>188.85+3016.25</f>
        <v>3205.1</v>
      </c>
      <c r="I20" s="22">
        <f t="shared" si="1"/>
        <v>26794.9</v>
      </c>
      <c r="J20" s="22" t="s">
        <v>16</v>
      </c>
      <c r="K20" s="24"/>
      <c r="L20" s="25"/>
    </row>
    <row r="21" spans="1:12" ht="15.75" x14ac:dyDescent="0.25">
      <c r="A21" s="20" t="s">
        <v>25</v>
      </c>
      <c r="B21" s="21" t="s">
        <v>1391</v>
      </c>
      <c r="C21" s="28" t="s">
        <v>1392</v>
      </c>
      <c r="D21" s="29" t="s">
        <v>551</v>
      </c>
      <c r="E21" s="40" t="s">
        <v>1393</v>
      </c>
      <c r="F21" s="22">
        <f>11005+50</f>
        <v>11055</v>
      </c>
      <c r="G21" s="22">
        <v>91584</v>
      </c>
      <c r="H21" s="23">
        <f>10350+10350+11055</f>
        <v>31755</v>
      </c>
      <c r="I21" s="22">
        <f t="shared" si="1"/>
        <v>59829</v>
      </c>
      <c r="J21" s="22" t="s">
        <v>16</v>
      </c>
      <c r="K21" s="24"/>
      <c r="L21" s="25"/>
    </row>
    <row r="22" spans="1:12" ht="15.75" x14ac:dyDescent="0.25">
      <c r="A22" s="20" t="s">
        <v>44</v>
      </c>
      <c r="B22" s="21" t="s">
        <v>1381</v>
      </c>
      <c r="C22" s="28" t="s">
        <v>15</v>
      </c>
      <c r="D22" s="29" t="s">
        <v>1613</v>
      </c>
      <c r="E22" s="40" t="s">
        <v>207</v>
      </c>
      <c r="F22" s="22">
        <v>22900</v>
      </c>
      <c r="G22" s="22">
        <v>500000</v>
      </c>
      <c r="H22" s="23">
        <f>58400+6550+18000+10000+47000+22900</f>
        <v>162850</v>
      </c>
      <c r="I22" s="22">
        <f t="shared" si="1"/>
        <v>337150</v>
      </c>
      <c r="J22" s="22" t="s">
        <v>16</v>
      </c>
      <c r="K22" s="24"/>
      <c r="L22" s="25"/>
    </row>
    <row r="23" spans="1:12" ht="15.75" x14ac:dyDescent="0.25">
      <c r="A23" s="20" t="s">
        <v>20</v>
      </c>
      <c r="B23" s="21" t="s">
        <v>1685</v>
      </c>
      <c r="C23" s="28" t="s">
        <v>800</v>
      </c>
      <c r="D23" s="29" t="s">
        <v>18</v>
      </c>
      <c r="E23" s="40" t="s">
        <v>1686</v>
      </c>
      <c r="F23" s="22">
        <f>5500+3000</f>
        <v>8500</v>
      </c>
      <c r="G23" s="22">
        <v>10000</v>
      </c>
      <c r="H23" s="23">
        <f>5500+300</f>
        <v>5800</v>
      </c>
      <c r="I23" s="22">
        <f t="shared" si="1"/>
        <v>4200</v>
      </c>
      <c r="J23" s="22" t="s">
        <v>16</v>
      </c>
      <c r="K23" s="24"/>
      <c r="L23" s="25"/>
    </row>
    <row r="24" spans="1:12" ht="15.75" x14ac:dyDescent="0.25">
      <c r="A24" s="20" t="s">
        <v>21</v>
      </c>
      <c r="B24" s="21" t="s">
        <v>1684</v>
      </c>
      <c r="C24" s="28" t="s">
        <v>800</v>
      </c>
      <c r="D24" s="29" t="s">
        <v>18</v>
      </c>
      <c r="E24" s="40" t="s">
        <v>1674</v>
      </c>
      <c r="F24" s="22">
        <v>19440</v>
      </c>
      <c r="G24" s="22">
        <v>47000</v>
      </c>
      <c r="H24" s="23">
        <f>29000+19440</f>
        <v>48440</v>
      </c>
      <c r="I24" s="22">
        <f t="shared" si="1"/>
        <v>-1440</v>
      </c>
      <c r="J24" s="22" t="s">
        <v>16</v>
      </c>
      <c r="K24" s="24"/>
      <c r="L24" s="25"/>
    </row>
    <row r="25" spans="1:12" ht="15.75" x14ac:dyDescent="0.25">
      <c r="A25" s="20" t="s">
        <v>22</v>
      </c>
      <c r="B25" s="21" t="s">
        <v>1675</v>
      </c>
      <c r="C25" s="28" t="s">
        <v>696</v>
      </c>
      <c r="D25" s="66" t="s">
        <v>43</v>
      </c>
      <c r="E25" s="40" t="s">
        <v>38</v>
      </c>
      <c r="F25" s="22">
        <v>417.1</v>
      </c>
      <c r="G25" s="22">
        <v>1000</v>
      </c>
      <c r="H25" s="23">
        <f>186.4+417.1</f>
        <v>603.5</v>
      </c>
      <c r="I25" s="22">
        <f t="shared" si="1"/>
        <v>396.5</v>
      </c>
      <c r="J25" s="22" t="s">
        <v>16</v>
      </c>
      <c r="K25" s="24"/>
      <c r="L25" s="25"/>
    </row>
    <row r="26" spans="1:12" ht="15.75" x14ac:dyDescent="0.25">
      <c r="A26" s="20" t="s">
        <v>22</v>
      </c>
      <c r="B26" s="21" t="s">
        <v>1690</v>
      </c>
      <c r="C26" s="28" t="s">
        <v>883</v>
      </c>
      <c r="D26" s="66" t="s">
        <v>1691</v>
      </c>
      <c r="E26" s="40" t="s">
        <v>1692</v>
      </c>
      <c r="F26" s="22">
        <v>400.3</v>
      </c>
      <c r="G26" s="22">
        <v>1000</v>
      </c>
      <c r="H26" s="23">
        <v>400.3</v>
      </c>
      <c r="I26" s="22">
        <f t="shared" si="1"/>
        <v>599.70000000000005</v>
      </c>
      <c r="J26" s="22" t="s">
        <v>16</v>
      </c>
      <c r="K26" s="24"/>
      <c r="L26" s="25"/>
    </row>
    <row r="27" spans="1:12" ht="15.75" x14ac:dyDescent="0.25">
      <c r="A27" s="20" t="s">
        <v>17</v>
      </c>
      <c r="B27" s="21" t="s">
        <v>1667</v>
      </c>
      <c r="C27" s="28" t="s">
        <v>401</v>
      </c>
      <c r="D27" s="29" t="s">
        <v>18</v>
      </c>
      <c r="E27" s="40" t="s">
        <v>99</v>
      </c>
      <c r="F27" s="22">
        <v>900</v>
      </c>
      <c r="G27" s="42">
        <v>47000</v>
      </c>
      <c r="H27" s="23">
        <f>1600+28000+900</f>
        <v>30500</v>
      </c>
      <c r="I27" s="22">
        <f>G27-H27</f>
        <v>16500</v>
      </c>
      <c r="J27" s="22" t="s">
        <v>16</v>
      </c>
      <c r="K27" s="24"/>
      <c r="L27" s="25"/>
    </row>
    <row r="28" spans="1:12" ht="15.75" x14ac:dyDescent="0.25">
      <c r="A28" s="20" t="s">
        <v>21</v>
      </c>
      <c r="B28" s="21" t="s">
        <v>1381</v>
      </c>
      <c r="C28" s="28" t="s">
        <v>15</v>
      </c>
      <c r="D28" s="66" t="s">
        <v>73</v>
      </c>
      <c r="E28" s="40" t="s">
        <v>771</v>
      </c>
      <c r="F28" s="22">
        <v>5365</v>
      </c>
      <c r="G28" s="42">
        <v>5000</v>
      </c>
      <c r="H28" s="23">
        <v>5365</v>
      </c>
      <c r="I28" s="22">
        <f t="shared" ref="I28:I29" si="3">G28-H28</f>
        <v>-365</v>
      </c>
      <c r="J28" s="22" t="s">
        <v>24</v>
      </c>
      <c r="K28" s="24"/>
      <c r="L28" s="25"/>
    </row>
    <row r="29" spans="1:12" ht="15.75" x14ac:dyDescent="0.25">
      <c r="A29" s="20" t="s">
        <v>22</v>
      </c>
      <c r="B29" s="21" t="s">
        <v>1633</v>
      </c>
      <c r="C29" s="28" t="s">
        <v>1217</v>
      </c>
      <c r="D29" s="66" t="s">
        <v>92</v>
      </c>
      <c r="E29" s="40" t="s">
        <v>38</v>
      </c>
      <c r="F29" s="22">
        <v>77.2</v>
      </c>
      <c r="G29" s="22">
        <v>1000</v>
      </c>
      <c r="H29" s="23">
        <f>68.6+77.2</f>
        <v>145.80000000000001</v>
      </c>
      <c r="I29" s="22">
        <f t="shared" si="3"/>
        <v>854.2</v>
      </c>
      <c r="J29" s="22" t="s">
        <v>16</v>
      </c>
      <c r="K29" s="24"/>
      <c r="L29" s="25"/>
    </row>
    <row r="30" spans="1:12" ht="15.75" x14ac:dyDescent="0.25">
      <c r="A30" s="20" t="s">
        <v>14</v>
      </c>
      <c r="B30" s="21" t="s">
        <v>1669</v>
      </c>
      <c r="C30" s="28" t="s">
        <v>15</v>
      </c>
      <c r="D30" s="29" t="s">
        <v>1614</v>
      </c>
      <c r="E30" s="40" t="s">
        <v>220</v>
      </c>
      <c r="F30" s="22">
        <f>6500+3000</f>
        <v>9500</v>
      </c>
      <c r="G30" s="22">
        <v>20000</v>
      </c>
      <c r="H30" s="23">
        <f>1500+1000+9500</f>
        <v>12000</v>
      </c>
      <c r="I30" s="22">
        <f t="shared" si="1"/>
        <v>8000</v>
      </c>
      <c r="J30" s="22" t="s">
        <v>16</v>
      </c>
      <c r="K30" s="24"/>
      <c r="L30" s="25"/>
    </row>
    <row r="31" spans="1:12" ht="16.5" thickBot="1" x14ac:dyDescent="0.3">
      <c r="A31" s="43"/>
      <c r="B31" s="44"/>
      <c r="C31" s="45"/>
      <c r="D31" s="67"/>
      <c r="E31" s="47"/>
      <c r="F31" s="48"/>
      <c r="G31" s="62"/>
      <c r="H31" s="49"/>
      <c r="I31" s="48"/>
      <c r="J31" s="48"/>
      <c r="K31" s="50"/>
      <c r="L31" s="51"/>
    </row>
    <row r="32" spans="1:12" ht="16.5" thickBot="1" x14ac:dyDescent="0.3">
      <c r="A32" s="71"/>
      <c r="B32" s="72"/>
      <c r="C32" s="73"/>
      <c r="D32" s="74"/>
      <c r="E32" s="75"/>
      <c r="F32" s="76"/>
      <c r="G32" s="76"/>
      <c r="H32" s="77"/>
      <c r="I32" s="76"/>
      <c r="J32" s="76"/>
      <c r="K32" s="78"/>
      <c r="L32" s="79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2:L26"/>
  <sheetViews>
    <sheetView workbookViewId="0">
      <pane xSplit="3" topLeftCell="D1" activePane="topRight" state="frozen"/>
      <selection pane="topRight" activeCell="A19" sqref="A19:XFD19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1701</v>
      </c>
      <c r="C4" s="26" t="s">
        <v>1702</v>
      </c>
      <c r="D4" s="65" t="s">
        <v>18</v>
      </c>
      <c r="E4" s="39" t="s">
        <v>484</v>
      </c>
      <c r="F4" s="16">
        <v>350</v>
      </c>
      <c r="G4" s="16">
        <v>2500</v>
      </c>
      <c r="H4" s="17">
        <v>350</v>
      </c>
      <c r="I4" s="16">
        <f>G4-H4</f>
        <v>2150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1537</v>
      </c>
      <c r="C5" s="28" t="s">
        <v>32</v>
      </c>
      <c r="D5" s="66" t="s">
        <v>18</v>
      </c>
      <c r="E5" s="40" t="s">
        <v>33</v>
      </c>
      <c r="F5" s="22">
        <v>2000</v>
      </c>
      <c r="G5" s="42">
        <v>10000</v>
      </c>
      <c r="H5" s="23">
        <v>8400</v>
      </c>
      <c r="I5" s="22">
        <f t="shared" ref="I5:I21" si="0">G5-H5</f>
        <v>1600</v>
      </c>
      <c r="J5" s="22" t="s">
        <v>16</v>
      </c>
      <c r="K5" s="24"/>
      <c r="L5" s="25"/>
    </row>
    <row r="6" spans="1:12" ht="15.75" x14ac:dyDescent="0.25">
      <c r="A6" s="20" t="s">
        <v>231</v>
      </c>
      <c r="B6" s="21" t="s">
        <v>1700</v>
      </c>
      <c r="C6" s="28" t="s">
        <v>1019</v>
      </c>
      <c r="D6" s="29" t="s">
        <v>240</v>
      </c>
      <c r="E6" s="40" t="s">
        <v>1020</v>
      </c>
      <c r="F6" s="22">
        <v>500.5</v>
      </c>
      <c r="G6" s="22">
        <v>500</v>
      </c>
      <c r="H6" s="23">
        <v>500.5</v>
      </c>
      <c r="I6" s="22">
        <f t="shared" si="0"/>
        <v>-0.5</v>
      </c>
      <c r="J6" s="22" t="s">
        <v>23</v>
      </c>
      <c r="K6" s="24"/>
      <c r="L6" s="25"/>
    </row>
    <row r="7" spans="1:12" ht="15.75" x14ac:dyDescent="0.25">
      <c r="A7" s="20" t="s">
        <v>30</v>
      </c>
      <c r="B7" s="21" t="s">
        <v>1666</v>
      </c>
      <c r="C7" s="28" t="s">
        <v>1678</v>
      </c>
      <c r="D7" s="66" t="s">
        <v>1271</v>
      </c>
      <c r="E7" s="40" t="s">
        <v>1679</v>
      </c>
      <c r="F7" s="22">
        <v>11400</v>
      </c>
      <c r="G7" s="42">
        <v>30000</v>
      </c>
      <c r="H7" s="23">
        <f>9700+8000+11400</f>
        <v>29100</v>
      </c>
      <c r="I7" s="22">
        <f t="shared" si="0"/>
        <v>900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1642</v>
      </c>
      <c r="C8" s="28" t="s">
        <v>34</v>
      </c>
      <c r="D8" s="66" t="s">
        <v>18</v>
      </c>
      <c r="E8" s="40" t="s">
        <v>127</v>
      </c>
      <c r="F8" s="22">
        <v>7500</v>
      </c>
      <c r="G8" s="42">
        <v>75000</v>
      </c>
      <c r="H8" s="23">
        <f>14250+4200+7750+7500</f>
        <v>33700</v>
      </c>
      <c r="I8" s="22">
        <f t="shared" si="0"/>
        <v>41300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1672</v>
      </c>
      <c r="C9" s="28" t="s">
        <v>34</v>
      </c>
      <c r="D9" s="66" t="s">
        <v>18</v>
      </c>
      <c r="E9" s="40" t="s">
        <v>1196</v>
      </c>
      <c r="F9" s="22">
        <v>13000</v>
      </c>
      <c r="G9" s="42">
        <v>150000</v>
      </c>
      <c r="H9" s="23">
        <f>5000+15750+13000</f>
        <v>33750</v>
      </c>
      <c r="I9" s="22">
        <f t="shared" si="0"/>
        <v>116250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1517</v>
      </c>
      <c r="C10" s="28" t="s">
        <v>1518</v>
      </c>
      <c r="D10" s="66" t="s">
        <v>977</v>
      </c>
      <c r="E10" s="40" t="s">
        <v>216</v>
      </c>
      <c r="F10" s="22">
        <v>7570</v>
      </c>
      <c r="G10" s="22">
        <v>30000</v>
      </c>
      <c r="H10" s="23">
        <v>20090</v>
      </c>
      <c r="I10" s="22">
        <f t="shared" si="0"/>
        <v>9910</v>
      </c>
      <c r="J10" s="22" t="s">
        <v>16</v>
      </c>
      <c r="K10" s="24"/>
      <c r="L10" s="25"/>
    </row>
    <row r="11" spans="1:12" ht="15.75" x14ac:dyDescent="0.25">
      <c r="A11" s="20" t="s">
        <v>228</v>
      </c>
      <c r="B11" s="21" t="s">
        <v>1680</v>
      </c>
      <c r="C11" s="28" t="s">
        <v>15</v>
      </c>
      <c r="D11" s="66" t="s">
        <v>1099</v>
      </c>
      <c r="E11" s="40" t="s">
        <v>940</v>
      </c>
      <c r="F11" s="22">
        <v>140000</v>
      </c>
      <c r="G11" s="22">
        <v>1000000</v>
      </c>
      <c r="H11" s="23">
        <f>100000+200000+8000+60000+180000+500000+140000</f>
        <v>1188000</v>
      </c>
      <c r="I11" s="22">
        <f t="shared" si="0"/>
        <v>-188000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1318</v>
      </c>
      <c r="C12" s="28" t="s">
        <v>88</v>
      </c>
      <c r="D12" s="66" t="s">
        <v>89</v>
      </c>
      <c r="E12" s="40" t="s">
        <v>90</v>
      </c>
      <c r="F12" s="22">
        <v>28.3</v>
      </c>
      <c r="G12" s="22">
        <v>1000</v>
      </c>
      <c r="H12" s="23">
        <f>373.6+28.3</f>
        <v>401.90000000000003</v>
      </c>
      <c r="I12" s="22">
        <f t="shared" si="0"/>
        <v>598.09999999999991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1703</v>
      </c>
      <c r="C13" s="28" t="s">
        <v>34</v>
      </c>
      <c r="D13" s="29" t="s">
        <v>18</v>
      </c>
      <c r="E13" s="40" t="s">
        <v>1156</v>
      </c>
      <c r="F13" s="22">
        <v>3970</v>
      </c>
      <c r="G13" s="42">
        <v>200000</v>
      </c>
      <c r="H13" s="23">
        <v>3970</v>
      </c>
      <c r="I13" s="22">
        <f t="shared" si="0"/>
        <v>196030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1704</v>
      </c>
      <c r="C14" s="28" t="s">
        <v>15</v>
      </c>
      <c r="D14" s="66" t="s">
        <v>18</v>
      </c>
      <c r="E14" s="40" t="s">
        <v>181</v>
      </c>
      <c r="F14" s="22">
        <v>13000</v>
      </c>
      <c r="G14" s="22">
        <v>28900</v>
      </c>
      <c r="H14" s="23">
        <v>13000</v>
      </c>
      <c r="I14" s="22">
        <f t="shared" si="0"/>
        <v>15900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1544</v>
      </c>
      <c r="C15" s="28" t="s">
        <v>15</v>
      </c>
      <c r="D15" s="66" t="s">
        <v>344</v>
      </c>
      <c r="E15" s="40" t="s">
        <v>345</v>
      </c>
      <c r="F15" s="22">
        <v>28200</v>
      </c>
      <c r="G15" s="22">
        <v>100000</v>
      </c>
      <c r="H15" s="23">
        <f>16000+16200+4000+24000+28200</f>
        <v>88400</v>
      </c>
      <c r="I15" s="22">
        <f t="shared" si="0"/>
        <v>11600</v>
      </c>
      <c r="J15" s="22" t="s">
        <v>16</v>
      </c>
      <c r="K15" s="24"/>
      <c r="L15" s="25"/>
    </row>
    <row r="16" spans="1:12" ht="15.75" x14ac:dyDescent="0.25">
      <c r="A16" s="20" t="s">
        <v>963</v>
      </c>
      <c r="B16" s="21" t="s">
        <v>1489</v>
      </c>
      <c r="C16" s="28" t="s">
        <v>15</v>
      </c>
      <c r="D16" s="66" t="s">
        <v>1705</v>
      </c>
      <c r="E16" s="40" t="s">
        <v>1706</v>
      </c>
      <c r="F16" s="22">
        <v>78</v>
      </c>
      <c r="G16" s="22">
        <v>1000</v>
      </c>
      <c r="H16" s="23">
        <v>836</v>
      </c>
      <c r="I16" s="22">
        <f t="shared" si="0"/>
        <v>164</v>
      </c>
      <c r="J16" s="22" t="s">
        <v>16</v>
      </c>
      <c r="K16" s="24"/>
      <c r="L16" s="25"/>
    </row>
    <row r="17" spans="1:12" ht="15.75" x14ac:dyDescent="0.25">
      <c r="A17" s="20" t="s">
        <v>21</v>
      </c>
      <c r="B17" s="21" t="s">
        <v>1707</v>
      </c>
      <c r="C17" s="28" t="s">
        <v>15</v>
      </c>
      <c r="D17" s="66" t="s">
        <v>52</v>
      </c>
      <c r="E17" s="40" t="s">
        <v>722</v>
      </c>
      <c r="F17" s="22">
        <v>209</v>
      </c>
      <c r="G17" s="22">
        <v>2000</v>
      </c>
      <c r="H17" s="23">
        <v>209</v>
      </c>
      <c r="I17" s="22">
        <f t="shared" si="0"/>
        <v>1791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1708</v>
      </c>
      <c r="C18" s="28" t="s">
        <v>15</v>
      </c>
      <c r="D18" s="66" t="s">
        <v>1709</v>
      </c>
      <c r="E18" s="40" t="s">
        <v>46</v>
      </c>
      <c r="F18" s="22">
        <v>207.4</v>
      </c>
      <c r="G18" s="22">
        <v>500</v>
      </c>
      <c r="H18" s="23">
        <v>207.4</v>
      </c>
      <c r="I18" s="22">
        <f t="shared" si="0"/>
        <v>292.60000000000002</v>
      </c>
      <c r="J18" s="22" t="s">
        <v>16</v>
      </c>
      <c r="K18" s="24"/>
      <c r="L18" s="25"/>
    </row>
    <row r="19" spans="1:12" ht="15.75" x14ac:dyDescent="0.25">
      <c r="A19" s="20" t="s">
        <v>44</v>
      </c>
      <c r="B19" s="21" t="s">
        <v>1693</v>
      </c>
      <c r="C19" s="28" t="s">
        <v>15</v>
      </c>
      <c r="D19" s="66" t="s">
        <v>693</v>
      </c>
      <c r="E19" s="40" t="s">
        <v>207</v>
      </c>
      <c r="F19" s="22">
        <v>21000</v>
      </c>
      <c r="G19" s="42">
        <v>50000</v>
      </c>
      <c r="H19" s="23">
        <f>22000+21000</f>
        <v>43000</v>
      </c>
      <c r="I19" s="22">
        <f t="shared" si="0"/>
        <v>7000</v>
      </c>
      <c r="J19" s="22" t="s">
        <v>16</v>
      </c>
      <c r="K19" s="24"/>
      <c r="L19" s="25"/>
    </row>
    <row r="20" spans="1:12" ht="15.75" x14ac:dyDescent="0.25">
      <c r="A20" s="20" t="s">
        <v>22</v>
      </c>
      <c r="B20" s="21" t="s">
        <v>1566</v>
      </c>
      <c r="C20" s="28" t="s">
        <v>1713</v>
      </c>
      <c r="D20" s="66" t="s">
        <v>1286</v>
      </c>
      <c r="E20" s="40" t="s">
        <v>1712</v>
      </c>
      <c r="F20" s="22">
        <v>318.39999999999998</v>
      </c>
      <c r="G20" s="22">
        <v>300</v>
      </c>
      <c r="H20" s="23">
        <v>318.39999999999998</v>
      </c>
      <c r="I20" s="22">
        <f t="shared" si="0"/>
        <v>-18.399999999999977</v>
      </c>
      <c r="J20" s="22" t="s">
        <v>16</v>
      </c>
      <c r="K20" s="24"/>
      <c r="L20" s="25"/>
    </row>
    <row r="21" spans="1:12" ht="15.75" x14ac:dyDescent="0.25">
      <c r="A21" s="20" t="s">
        <v>22</v>
      </c>
      <c r="B21" s="21" t="s">
        <v>1710</v>
      </c>
      <c r="C21" s="28" t="s">
        <v>1682</v>
      </c>
      <c r="D21" s="29" t="s">
        <v>1711</v>
      </c>
      <c r="E21" s="40" t="s">
        <v>1712</v>
      </c>
      <c r="F21" s="22">
        <v>318.39999999999998</v>
      </c>
      <c r="G21" s="22">
        <v>300</v>
      </c>
      <c r="H21" s="23">
        <v>318.39999999999998</v>
      </c>
      <c r="I21" s="22">
        <f t="shared" si="0"/>
        <v>-18.399999999999977</v>
      </c>
      <c r="J21" s="22" t="s">
        <v>23</v>
      </c>
      <c r="K21" s="24"/>
      <c r="L21" s="25"/>
    </row>
    <row r="22" spans="1:12" ht="15.75" x14ac:dyDescent="0.25">
      <c r="A22" s="20" t="s">
        <v>82</v>
      </c>
      <c r="B22" s="21" t="s">
        <v>1159</v>
      </c>
      <c r="C22" s="28" t="s">
        <v>15</v>
      </c>
      <c r="D22" s="66" t="s">
        <v>1714</v>
      </c>
      <c r="E22" s="40" t="s">
        <v>81</v>
      </c>
      <c r="F22" s="22">
        <v>140</v>
      </c>
      <c r="G22" s="42">
        <v>2000</v>
      </c>
      <c r="H22" s="23">
        <v>140</v>
      </c>
      <c r="I22" s="22">
        <f t="shared" ref="I22" si="1">G22-H22</f>
        <v>1860</v>
      </c>
      <c r="J22" s="22" t="s">
        <v>16</v>
      </c>
      <c r="K22" s="24"/>
      <c r="L22" s="25"/>
    </row>
    <row r="23" spans="1:12" ht="15.75" x14ac:dyDescent="0.25">
      <c r="A23" s="20"/>
      <c r="B23" s="21"/>
      <c r="C23" s="28"/>
      <c r="D23" s="66"/>
      <c r="E23" s="40"/>
      <c r="F23" s="22"/>
      <c r="G23" s="22"/>
      <c r="H23" s="23"/>
      <c r="I23" s="22"/>
      <c r="J23" s="22"/>
      <c r="K23" s="24"/>
      <c r="L23" s="25"/>
    </row>
    <row r="24" spans="1:12" ht="15.75" x14ac:dyDescent="0.25">
      <c r="A24" s="20"/>
      <c r="B24" s="21"/>
      <c r="C24" s="28"/>
      <c r="D24" s="29"/>
      <c r="E24" s="40"/>
      <c r="F24" s="22"/>
      <c r="G24" s="22"/>
      <c r="H24" s="23"/>
      <c r="I24" s="22"/>
      <c r="J24" s="22"/>
      <c r="K24" s="24"/>
      <c r="L24" s="25"/>
    </row>
    <row r="25" spans="1:12" ht="16.5" thickBot="1" x14ac:dyDescent="0.3">
      <c r="A25" s="43"/>
      <c r="B25" s="44"/>
      <c r="C25" s="45"/>
      <c r="D25" s="67"/>
      <c r="E25" s="47"/>
      <c r="F25" s="48"/>
      <c r="G25" s="62"/>
      <c r="H25" s="49"/>
      <c r="I25" s="48"/>
      <c r="J25" s="48"/>
      <c r="K25" s="50"/>
      <c r="L25" s="51"/>
    </row>
    <row r="26" spans="1:12" ht="16.5" thickBot="1" x14ac:dyDescent="0.3">
      <c r="A26" s="71"/>
      <c r="B26" s="72"/>
      <c r="C26" s="73"/>
      <c r="D26" s="74"/>
      <c r="E26" s="75"/>
      <c r="F26" s="76"/>
      <c r="G26" s="76"/>
      <c r="H26" s="77"/>
      <c r="I26" s="76"/>
      <c r="J26" s="76"/>
      <c r="K26" s="78"/>
      <c r="L26" s="79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"/>
  <sheetViews>
    <sheetView workbookViewId="0">
      <selection activeCell="A3" sqref="A1:XFD1048576"/>
    </sheetView>
  </sheetViews>
  <sheetFormatPr defaultRowHeight="15" x14ac:dyDescent="0.25"/>
  <cols>
    <col min="1" max="16384" width="9.140625" style="92"/>
  </cols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2:L22"/>
  <sheetViews>
    <sheetView workbookViewId="0">
      <pane xSplit="3" topLeftCell="D1" activePane="topRight" state="frozen"/>
      <selection pane="topRight" activeCell="A11" sqref="A11:XFD1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17</v>
      </c>
      <c r="B4" s="15" t="s">
        <v>1404</v>
      </c>
      <c r="C4" s="26" t="s">
        <v>401</v>
      </c>
      <c r="D4" s="65" t="s">
        <v>18</v>
      </c>
      <c r="E4" s="39" t="s">
        <v>99</v>
      </c>
      <c r="F4" s="16">
        <f>3750+2000</f>
        <v>5750</v>
      </c>
      <c r="G4" s="16">
        <v>15000</v>
      </c>
      <c r="H4" s="17">
        <v>5750</v>
      </c>
      <c r="I4" s="16">
        <f>G4-H4</f>
        <v>9250</v>
      </c>
      <c r="J4" s="16" t="s">
        <v>16</v>
      </c>
      <c r="K4" s="18"/>
      <c r="L4" s="19"/>
    </row>
    <row r="5" spans="1:12" ht="15.75" x14ac:dyDescent="0.25">
      <c r="A5" s="20" t="s">
        <v>17</v>
      </c>
      <c r="B5" s="21" t="s">
        <v>1715</v>
      </c>
      <c r="C5" s="28" t="s">
        <v>204</v>
      </c>
      <c r="D5" s="66" t="s">
        <v>18</v>
      </c>
      <c r="E5" s="40" t="s">
        <v>1716</v>
      </c>
      <c r="F5" s="22">
        <v>8250</v>
      </c>
      <c r="G5" s="42">
        <v>10000</v>
      </c>
      <c r="H5" s="23">
        <v>8250</v>
      </c>
      <c r="I5" s="22">
        <f t="shared" ref="I5:I19" si="0">G5-H5</f>
        <v>1750</v>
      </c>
      <c r="J5" s="22" t="s">
        <v>16</v>
      </c>
      <c r="K5" s="24"/>
      <c r="L5" s="25"/>
    </row>
    <row r="6" spans="1:12" ht="15.75" x14ac:dyDescent="0.25">
      <c r="A6" s="20" t="s">
        <v>17</v>
      </c>
      <c r="B6" s="21" t="s">
        <v>1718</v>
      </c>
      <c r="C6" s="28" t="s">
        <v>1135</v>
      </c>
      <c r="D6" s="29" t="s">
        <v>77</v>
      </c>
      <c r="E6" s="40" t="s">
        <v>1136</v>
      </c>
      <c r="F6" s="22">
        <f>2500+5000</f>
        <v>7500</v>
      </c>
      <c r="G6" s="22">
        <v>10500</v>
      </c>
      <c r="H6" s="23">
        <v>7500</v>
      </c>
      <c r="I6" s="22">
        <f t="shared" si="0"/>
        <v>3000</v>
      </c>
      <c r="J6" s="22" t="s">
        <v>16</v>
      </c>
      <c r="K6" s="24"/>
      <c r="L6" s="25"/>
    </row>
    <row r="7" spans="1:12" ht="15.75" x14ac:dyDescent="0.25">
      <c r="A7" s="20" t="s">
        <v>22</v>
      </c>
      <c r="B7" s="21" t="s">
        <v>1688</v>
      </c>
      <c r="C7" s="28" t="s">
        <v>929</v>
      </c>
      <c r="D7" s="66" t="s">
        <v>1719</v>
      </c>
      <c r="E7" s="40" t="s">
        <v>38</v>
      </c>
      <c r="F7" s="22">
        <v>500.1</v>
      </c>
      <c r="G7" s="42">
        <v>1000</v>
      </c>
      <c r="H7" s="23">
        <v>500.1</v>
      </c>
      <c r="I7" s="22">
        <f t="shared" si="0"/>
        <v>499.9</v>
      </c>
      <c r="J7" s="22" t="s">
        <v>16</v>
      </c>
      <c r="K7" s="24"/>
      <c r="L7" s="25"/>
    </row>
    <row r="8" spans="1:12" ht="15.75" x14ac:dyDescent="0.25">
      <c r="A8" s="20" t="s">
        <v>22</v>
      </c>
      <c r="B8" s="21" t="s">
        <v>1338</v>
      </c>
      <c r="C8" s="28" t="s">
        <v>15</v>
      </c>
      <c r="D8" s="66" t="s">
        <v>240</v>
      </c>
      <c r="E8" s="40" t="s">
        <v>72</v>
      </c>
      <c r="F8" s="22">
        <v>376.6</v>
      </c>
      <c r="G8" s="42">
        <v>1000</v>
      </c>
      <c r="H8" s="23">
        <v>376.6</v>
      </c>
      <c r="I8" s="22">
        <f t="shared" si="0"/>
        <v>623.4</v>
      </c>
      <c r="J8" s="22" t="s">
        <v>16</v>
      </c>
      <c r="K8" s="24"/>
      <c r="L8" s="25"/>
    </row>
    <row r="9" spans="1:12" ht="15.75" x14ac:dyDescent="0.25">
      <c r="A9" s="20" t="s">
        <v>14</v>
      </c>
      <c r="B9" s="21" t="s">
        <v>1672</v>
      </c>
      <c r="C9" s="28" t="s">
        <v>34</v>
      </c>
      <c r="D9" s="66" t="s">
        <v>18</v>
      </c>
      <c r="E9" s="40" t="s">
        <v>1196</v>
      </c>
      <c r="F9" s="22">
        <f>18500+5000</f>
        <v>23500</v>
      </c>
      <c r="G9" s="42">
        <v>150000</v>
      </c>
      <c r="H9" s="23">
        <f>5000+15750+13000+23500</f>
        <v>57250</v>
      </c>
      <c r="I9" s="22">
        <f t="shared" si="0"/>
        <v>92750</v>
      </c>
      <c r="J9" s="22" t="s">
        <v>16</v>
      </c>
      <c r="K9" s="24"/>
      <c r="L9" s="25"/>
    </row>
    <row r="10" spans="1:12" ht="15.75" x14ac:dyDescent="0.25">
      <c r="A10" s="20" t="s">
        <v>22</v>
      </c>
      <c r="B10" s="21" t="s">
        <v>1628</v>
      </c>
      <c r="C10" s="28" t="s">
        <v>204</v>
      </c>
      <c r="D10" s="66" t="s">
        <v>376</v>
      </c>
      <c r="E10" s="40" t="s">
        <v>206</v>
      </c>
      <c r="F10" s="22">
        <v>905.2</v>
      </c>
      <c r="G10" s="22">
        <v>3000</v>
      </c>
      <c r="H10" s="23">
        <v>905.2</v>
      </c>
      <c r="I10" s="22">
        <f t="shared" si="0"/>
        <v>2094.8000000000002</v>
      </c>
      <c r="J10" s="22" t="s">
        <v>16</v>
      </c>
      <c r="K10" s="24"/>
      <c r="L10" s="25"/>
    </row>
    <row r="11" spans="1:12" ht="15.75" x14ac:dyDescent="0.25">
      <c r="A11" s="20" t="s">
        <v>22</v>
      </c>
      <c r="B11" s="21" t="s">
        <v>1589</v>
      </c>
      <c r="C11" s="28" t="s">
        <v>701</v>
      </c>
      <c r="D11" s="66" t="s">
        <v>43</v>
      </c>
      <c r="E11" s="40" t="s">
        <v>38</v>
      </c>
      <c r="F11" s="22">
        <v>1040.4000000000001</v>
      </c>
      <c r="G11" s="22">
        <v>3000</v>
      </c>
      <c r="H11" s="23">
        <v>1040.4000000000001</v>
      </c>
      <c r="I11" s="22">
        <f t="shared" si="0"/>
        <v>1959.6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1690</v>
      </c>
      <c r="C12" s="28" t="s">
        <v>75</v>
      </c>
      <c r="D12" s="66" t="s">
        <v>1720</v>
      </c>
      <c r="E12" s="40" t="s">
        <v>1692</v>
      </c>
      <c r="F12" s="22">
        <v>53.6</v>
      </c>
      <c r="G12" s="22">
        <v>200</v>
      </c>
      <c r="H12" s="23">
        <v>53.6</v>
      </c>
      <c r="I12" s="22">
        <f t="shared" si="0"/>
        <v>146.4</v>
      </c>
      <c r="J12" s="22" t="s">
        <v>16</v>
      </c>
      <c r="K12" s="24"/>
      <c r="L12" s="25"/>
    </row>
    <row r="13" spans="1:12" ht="15.75" x14ac:dyDescent="0.25">
      <c r="A13" s="20" t="s">
        <v>228</v>
      </c>
      <c r="B13" s="21" t="s">
        <v>1721</v>
      </c>
      <c r="C13" s="28" t="s">
        <v>15</v>
      </c>
      <c r="D13" s="29" t="s">
        <v>18</v>
      </c>
      <c r="E13" s="40" t="s">
        <v>39</v>
      </c>
      <c r="F13" s="22">
        <v>50000</v>
      </c>
      <c r="G13" s="42">
        <v>60000</v>
      </c>
      <c r="H13" s="23">
        <v>50000</v>
      </c>
      <c r="I13" s="22">
        <f t="shared" si="0"/>
        <v>10000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1722</v>
      </c>
      <c r="C14" s="28" t="s">
        <v>41</v>
      </c>
      <c r="D14" s="66" t="s">
        <v>1723</v>
      </c>
      <c r="E14" s="40" t="s">
        <v>122</v>
      </c>
      <c r="F14" s="22">
        <v>55000</v>
      </c>
      <c r="G14" s="22">
        <v>73177</v>
      </c>
      <c r="H14" s="23">
        <v>55000</v>
      </c>
      <c r="I14" s="22">
        <f t="shared" si="0"/>
        <v>18177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1724</v>
      </c>
      <c r="C15" s="28" t="s">
        <v>1725</v>
      </c>
      <c r="D15" s="66" t="s">
        <v>42</v>
      </c>
      <c r="E15" s="40" t="s">
        <v>365</v>
      </c>
      <c r="F15" s="22">
        <v>7918</v>
      </c>
      <c r="G15" s="22">
        <v>8000</v>
      </c>
      <c r="H15" s="23">
        <v>7918</v>
      </c>
      <c r="I15" s="22">
        <f t="shared" si="0"/>
        <v>82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1726</v>
      </c>
      <c r="C16" s="28" t="s">
        <v>1727</v>
      </c>
      <c r="D16" s="66" t="s">
        <v>27</v>
      </c>
      <c r="E16" s="40" t="s">
        <v>1728</v>
      </c>
      <c r="F16" s="22">
        <v>6220</v>
      </c>
      <c r="G16" s="22">
        <v>6000</v>
      </c>
      <c r="H16" s="23">
        <v>6220</v>
      </c>
      <c r="I16" s="22">
        <f t="shared" si="0"/>
        <v>-220</v>
      </c>
      <c r="J16" s="22" t="s">
        <v>24</v>
      </c>
      <c r="K16" s="24"/>
      <c r="L16" s="25"/>
    </row>
    <row r="17" spans="1:12" ht="15.75" x14ac:dyDescent="0.25">
      <c r="A17" s="20" t="s">
        <v>14</v>
      </c>
      <c r="B17" s="21" t="s">
        <v>1729</v>
      </c>
      <c r="C17" s="28" t="s">
        <v>15</v>
      </c>
      <c r="D17" s="66" t="s">
        <v>1730</v>
      </c>
      <c r="E17" s="40" t="s">
        <v>1731</v>
      </c>
      <c r="F17" s="22">
        <v>4000</v>
      </c>
      <c r="G17" s="22">
        <v>5000</v>
      </c>
      <c r="H17" s="23">
        <v>400</v>
      </c>
      <c r="I17" s="22">
        <f t="shared" si="0"/>
        <v>4600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1717</v>
      </c>
      <c r="C18" s="28" t="s">
        <v>1527</v>
      </c>
      <c r="D18" s="66" t="s">
        <v>1709</v>
      </c>
      <c r="E18" s="40" t="s">
        <v>46</v>
      </c>
      <c r="F18" s="22">
        <v>90.6</v>
      </c>
      <c r="G18" s="22">
        <v>100</v>
      </c>
      <c r="H18" s="23">
        <v>90.6</v>
      </c>
      <c r="I18" s="22">
        <f t="shared" si="0"/>
        <v>9.4000000000000057</v>
      </c>
      <c r="J18" s="22" t="s">
        <v>16</v>
      </c>
      <c r="K18" s="24"/>
      <c r="L18" s="25"/>
    </row>
    <row r="19" spans="1:12" ht="15.75" x14ac:dyDescent="0.25">
      <c r="A19" s="20" t="s">
        <v>44</v>
      </c>
      <c r="B19" s="21" t="s">
        <v>1576</v>
      </c>
      <c r="C19" s="28" t="s">
        <v>15</v>
      </c>
      <c r="D19" s="66" t="s">
        <v>68</v>
      </c>
      <c r="E19" s="40" t="s">
        <v>69</v>
      </c>
      <c r="F19" s="22">
        <v>70000</v>
      </c>
      <c r="G19" s="42">
        <v>2000000</v>
      </c>
      <c r="H19" s="23">
        <v>70000</v>
      </c>
      <c r="I19" s="22">
        <f t="shared" si="0"/>
        <v>1930000</v>
      </c>
      <c r="J19" s="22" t="s">
        <v>16</v>
      </c>
      <c r="K19" s="24"/>
      <c r="L19" s="25"/>
    </row>
    <row r="20" spans="1:12" ht="15.75" x14ac:dyDescent="0.25">
      <c r="A20" s="20"/>
      <c r="B20" s="21"/>
      <c r="C20" s="28"/>
      <c r="D20" s="29"/>
      <c r="E20" s="40"/>
      <c r="F20" s="22"/>
      <c r="G20" s="22"/>
      <c r="H20" s="23"/>
      <c r="I20" s="22"/>
      <c r="J20" s="22"/>
      <c r="K20" s="24"/>
      <c r="L20" s="25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2:L25"/>
  <sheetViews>
    <sheetView workbookViewId="0">
      <pane xSplit="3" topLeftCell="D1" activePane="topRight" state="frozen"/>
      <selection pane="topRight" activeCell="A10" sqref="A10:XFD10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244</v>
      </c>
      <c r="B4" s="15" t="s">
        <v>1381</v>
      </c>
      <c r="C4" s="26" t="s">
        <v>15</v>
      </c>
      <c r="D4" s="65" t="s">
        <v>987</v>
      </c>
      <c r="E4" s="39" t="s">
        <v>1735</v>
      </c>
      <c r="F4" s="16">
        <v>17</v>
      </c>
      <c r="G4" s="16">
        <v>20</v>
      </c>
      <c r="H4" s="17">
        <v>17</v>
      </c>
      <c r="I4" s="16">
        <f>G4-H4</f>
        <v>3</v>
      </c>
      <c r="J4" s="16" t="s">
        <v>16</v>
      </c>
      <c r="K4" s="18"/>
      <c r="L4" s="19"/>
    </row>
    <row r="5" spans="1:12" ht="15.75" x14ac:dyDescent="0.25">
      <c r="A5" s="20" t="s">
        <v>44</v>
      </c>
      <c r="B5" s="21" t="s">
        <v>1739</v>
      </c>
      <c r="C5" s="28" t="s">
        <v>1002</v>
      </c>
      <c r="D5" s="66" t="s">
        <v>1740</v>
      </c>
      <c r="E5" s="40" t="s">
        <v>1003</v>
      </c>
      <c r="F5" s="22">
        <v>16000</v>
      </c>
      <c r="G5" s="42">
        <v>20000</v>
      </c>
      <c r="H5" s="23">
        <v>16000</v>
      </c>
      <c r="I5" s="22">
        <f t="shared" ref="I5:I22" si="0">G5-H5</f>
        <v>4000</v>
      </c>
      <c r="J5" s="22" t="s">
        <v>16</v>
      </c>
      <c r="K5" s="24"/>
      <c r="L5" s="25"/>
    </row>
    <row r="6" spans="1:12" ht="15.75" x14ac:dyDescent="0.25">
      <c r="A6" s="20" t="s">
        <v>17</v>
      </c>
      <c r="B6" s="21" t="s">
        <v>1718</v>
      </c>
      <c r="C6" s="28" t="s">
        <v>1135</v>
      </c>
      <c r="D6" s="29" t="s">
        <v>77</v>
      </c>
      <c r="E6" s="40" t="s">
        <v>1136</v>
      </c>
      <c r="F6" s="22">
        <v>3100</v>
      </c>
      <c r="G6" s="22">
        <v>10500</v>
      </c>
      <c r="H6" s="23">
        <f>7500+3100</f>
        <v>10600</v>
      </c>
      <c r="I6" s="22">
        <f t="shared" si="0"/>
        <v>-100</v>
      </c>
      <c r="J6" s="22" t="s">
        <v>24</v>
      </c>
      <c r="K6" s="24"/>
      <c r="L6" s="25"/>
    </row>
    <row r="7" spans="1:12" ht="15.75" x14ac:dyDescent="0.25">
      <c r="A7" s="20" t="s">
        <v>17</v>
      </c>
      <c r="B7" s="21" t="s">
        <v>1742</v>
      </c>
      <c r="C7" s="28" t="s">
        <v>401</v>
      </c>
      <c r="D7" s="66" t="s">
        <v>18</v>
      </c>
      <c r="E7" s="40" t="s">
        <v>99</v>
      </c>
      <c r="F7" s="22">
        <v>2000</v>
      </c>
      <c r="G7" s="42">
        <v>15000</v>
      </c>
      <c r="H7" s="23">
        <v>7750</v>
      </c>
      <c r="I7" s="22">
        <f t="shared" si="0"/>
        <v>7250</v>
      </c>
      <c r="J7" s="22" t="s">
        <v>16</v>
      </c>
      <c r="K7" s="24"/>
      <c r="L7" s="25"/>
    </row>
    <row r="8" spans="1:12" ht="15.75" x14ac:dyDescent="0.25">
      <c r="A8" s="20" t="s">
        <v>14</v>
      </c>
      <c r="B8" s="21" t="s">
        <v>1642</v>
      </c>
      <c r="C8" s="28" t="s">
        <v>34</v>
      </c>
      <c r="D8" s="66" t="s">
        <v>18</v>
      </c>
      <c r="E8" s="40" t="s">
        <v>127</v>
      </c>
      <c r="F8" s="22">
        <v>2000</v>
      </c>
      <c r="G8" s="42">
        <v>75000</v>
      </c>
      <c r="H8" s="23">
        <v>32450</v>
      </c>
      <c r="I8" s="22">
        <f t="shared" si="0"/>
        <v>42550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1743</v>
      </c>
      <c r="C9" s="28" t="s">
        <v>15</v>
      </c>
      <c r="D9" s="66" t="s">
        <v>18</v>
      </c>
      <c r="E9" s="40" t="s">
        <v>230</v>
      </c>
      <c r="F9" s="22">
        <v>28000</v>
      </c>
      <c r="G9" s="42">
        <v>200000</v>
      </c>
      <c r="H9" s="23">
        <v>28000</v>
      </c>
      <c r="I9" s="22">
        <f t="shared" si="0"/>
        <v>172000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1744</v>
      </c>
      <c r="C10" s="28" t="s">
        <v>41</v>
      </c>
      <c r="D10" s="66" t="s">
        <v>1745</v>
      </c>
      <c r="E10" s="40" t="s">
        <v>1240</v>
      </c>
      <c r="F10" s="22">
        <v>23000</v>
      </c>
      <c r="G10" s="22">
        <v>60000</v>
      </c>
      <c r="H10" s="23">
        <v>23000</v>
      </c>
      <c r="I10" s="22">
        <f t="shared" si="0"/>
        <v>37000</v>
      </c>
      <c r="J10" s="22" t="s">
        <v>16</v>
      </c>
      <c r="K10" s="24"/>
      <c r="L10" s="25"/>
    </row>
    <row r="11" spans="1:12" ht="15.75" x14ac:dyDescent="0.25">
      <c r="A11" s="20" t="s">
        <v>22</v>
      </c>
      <c r="B11" s="21" t="s">
        <v>1746</v>
      </c>
      <c r="C11" s="28" t="s">
        <v>1092</v>
      </c>
      <c r="D11" s="66" t="s">
        <v>1747</v>
      </c>
      <c r="E11" s="40" t="s">
        <v>46</v>
      </c>
      <c r="F11" s="22">
        <v>99.4</v>
      </c>
      <c r="G11" s="22">
        <v>100</v>
      </c>
      <c r="H11" s="23">
        <v>99.4</v>
      </c>
      <c r="I11" s="22">
        <f t="shared" si="0"/>
        <v>0.59999999999999432</v>
      </c>
      <c r="J11" s="22" t="s">
        <v>23</v>
      </c>
      <c r="K11" s="24"/>
      <c r="L11" s="25"/>
    </row>
    <row r="12" spans="1:12" ht="15.75" x14ac:dyDescent="0.25">
      <c r="A12" s="20" t="s">
        <v>22</v>
      </c>
      <c r="B12" s="21" t="s">
        <v>1690</v>
      </c>
      <c r="C12" s="28" t="s">
        <v>75</v>
      </c>
      <c r="D12" s="66" t="s">
        <v>1720</v>
      </c>
      <c r="E12" s="40" t="s">
        <v>1692</v>
      </c>
      <c r="F12" s="22">
        <v>481.1</v>
      </c>
      <c r="G12" s="22">
        <v>500</v>
      </c>
      <c r="H12" s="23">
        <f>53.6+481.1</f>
        <v>534.70000000000005</v>
      </c>
      <c r="I12" s="22">
        <f t="shared" si="0"/>
        <v>-34.700000000000045</v>
      </c>
      <c r="J12" s="22" t="s">
        <v>24</v>
      </c>
      <c r="K12" s="24"/>
      <c r="L12" s="25"/>
    </row>
    <row r="13" spans="1:12" ht="15.75" x14ac:dyDescent="0.25">
      <c r="A13" s="20" t="s">
        <v>228</v>
      </c>
      <c r="B13" s="21" t="s">
        <v>1732</v>
      </c>
      <c r="C13" s="28" t="s">
        <v>1733</v>
      </c>
      <c r="D13" s="29" t="s">
        <v>1734</v>
      </c>
      <c r="E13" s="40" t="s">
        <v>184</v>
      </c>
      <c r="F13" s="22">
        <v>12500</v>
      </c>
      <c r="G13" s="42">
        <v>50000</v>
      </c>
      <c r="H13" s="23">
        <v>12500</v>
      </c>
      <c r="I13" s="22">
        <f t="shared" si="0"/>
        <v>37500</v>
      </c>
      <c r="J13" s="22" t="s">
        <v>16</v>
      </c>
      <c r="K13" s="24"/>
      <c r="L13" s="25"/>
    </row>
    <row r="14" spans="1:12" ht="15.75" x14ac:dyDescent="0.25">
      <c r="A14" s="20" t="s">
        <v>21</v>
      </c>
      <c r="B14" s="21" t="s">
        <v>1722</v>
      </c>
      <c r="C14" s="28" t="s">
        <v>41</v>
      </c>
      <c r="D14" s="66" t="s">
        <v>1723</v>
      </c>
      <c r="E14" s="40" t="s">
        <v>122</v>
      </c>
      <c r="F14" s="22">
        <v>24450</v>
      </c>
      <c r="G14" s="22">
        <v>73177</v>
      </c>
      <c r="H14" s="23">
        <f>55000+24450</f>
        <v>79450</v>
      </c>
      <c r="I14" s="22">
        <f t="shared" si="0"/>
        <v>-6273</v>
      </c>
      <c r="J14" s="22" t="s">
        <v>24</v>
      </c>
      <c r="K14" s="24"/>
      <c r="L14" s="25"/>
    </row>
    <row r="15" spans="1:12" ht="15.75" x14ac:dyDescent="0.25">
      <c r="A15" s="20" t="s">
        <v>20</v>
      </c>
      <c r="B15" s="21" t="s">
        <v>1687</v>
      </c>
      <c r="C15" s="28" t="s">
        <v>530</v>
      </c>
      <c r="D15" s="66" t="s">
        <v>42</v>
      </c>
      <c r="E15" s="40" t="s">
        <v>470</v>
      </c>
      <c r="F15" s="22">
        <f>6920+11500</f>
        <v>18420</v>
      </c>
      <c r="G15" s="22">
        <v>30000</v>
      </c>
      <c r="H15" s="23">
        <v>22920</v>
      </c>
      <c r="I15" s="22">
        <f t="shared" si="0"/>
        <v>7080</v>
      </c>
      <c r="J15" s="22" t="s">
        <v>16</v>
      </c>
      <c r="K15" s="24"/>
      <c r="L15" s="25"/>
    </row>
    <row r="16" spans="1:12" ht="15.75" x14ac:dyDescent="0.25">
      <c r="A16" s="20" t="s">
        <v>44</v>
      </c>
      <c r="B16" s="21" t="s">
        <v>1741</v>
      </c>
      <c r="C16" s="28" t="s">
        <v>15</v>
      </c>
      <c r="D16" s="66" t="s">
        <v>47</v>
      </c>
      <c r="E16" s="40" t="s">
        <v>207</v>
      </c>
      <c r="F16" s="22">
        <v>31700</v>
      </c>
      <c r="G16" s="42">
        <v>500000</v>
      </c>
      <c r="H16" s="23">
        <v>90900</v>
      </c>
      <c r="I16" s="22">
        <f t="shared" si="0"/>
        <v>409100</v>
      </c>
      <c r="J16" s="22" t="s">
        <v>16</v>
      </c>
      <c r="K16" s="24"/>
      <c r="L16" s="25"/>
    </row>
    <row r="17" spans="1:12" ht="15.75" x14ac:dyDescent="0.25">
      <c r="A17" s="20" t="s">
        <v>346</v>
      </c>
      <c r="B17" s="21" t="s">
        <v>1738</v>
      </c>
      <c r="C17" s="28" t="s">
        <v>1092</v>
      </c>
      <c r="D17" s="66" t="s">
        <v>1286</v>
      </c>
      <c r="E17" s="40" t="s">
        <v>46</v>
      </c>
      <c r="F17" s="22">
        <v>74.5</v>
      </c>
      <c r="G17" s="22">
        <v>200</v>
      </c>
      <c r="H17" s="23">
        <v>74.5</v>
      </c>
      <c r="I17" s="22">
        <f t="shared" si="0"/>
        <v>125.5</v>
      </c>
      <c r="J17" s="22" t="s">
        <v>16</v>
      </c>
      <c r="K17" s="24"/>
      <c r="L17" s="25"/>
    </row>
    <row r="18" spans="1:12" ht="15.75" x14ac:dyDescent="0.25">
      <c r="A18" s="20" t="s">
        <v>346</v>
      </c>
      <c r="B18" s="21" t="s">
        <v>1736</v>
      </c>
      <c r="C18" s="28" t="s">
        <v>1092</v>
      </c>
      <c r="D18" s="66" t="s">
        <v>1737</v>
      </c>
      <c r="E18" s="40" t="s">
        <v>46</v>
      </c>
      <c r="F18" s="22">
        <v>202</v>
      </c>
      <c r="G18" s="22">
        <v>150</v>
      </c>
      <c r="H18" s="23">
        <v>202</v>
      </c>
      <c r="I18" s="22">
        <f t="shared" si="0"/>
        <v>-52</v>
      </c>
      <c r="J18" s="22" t="s">
        <v>24</v>
      </c>
      <c r="K18" s="24"/>
      <c r="L18" s="25"/>
    </row>
    <row r="19" spans="1:12" ht="15.75" x14ac:dyDescent="0.25">
      <c r="A19" s="20" t="s">
        <v>44</v>
      </c>
      <c r="B19" s="21" t="s">
        <v>1576</v>
      </c>
      <c r="C19" s="28" t="s">
        <v>15</v>
      </c>
      <c r="D19" s="66" t="s">
        <v>68</v>
      </c>
      <c r="E19" s="40" t="s">
        <v>69</v>
      </c>
      <c r="F19" s="22">
        <v>70000</v>
      </c>
      <c r="G19" s="42">
        <v>2000000</v>
      </c>
      <c r="H19" s="23">
        <v>70000</v>
      </c>
      <c r="I19" s="22">
        <f t="shared" si="0"/>
        <v>1930000</v>
      </c>
      <c r="J19" s="22" t="s">
        <v>16</v>
      </c>
      <c r="K19" s="24"/>
      <c r="L19" s="25"/>
    </row>
    <row r="20" spans="1:12" ht="15.75" x14ac:dyDescent="0.25">
      <c r="A20" s="20" t="s">
        <v>30</v>
      </c>
      <c r="B20" s="93" t="s">
        <v>1545</v>
      </c>
      <c r="C20" s="28" t="s">
        <v>1749</v>
      </c>
      <c r="D20" s="66" t="s">
        <v>48</v>
      </c>
      <c r="E20" s="40" t="s">
        <v>49</v>
      </c>
      <c r="F20" s="22">
        <v>8000</v>
      </c>
      <c r="G20" s="22">
        <v>320000</v>
      </c>
      <c r="H20" s="23">
        <v>270000</v>
      </c>
      <c r="I20" s="22">
        <f t="shared" si="0"/>
        <v>50000</v>
      </c>
      <c r="J20" s="22" t="s">
        <v>16</v>
      </c>
      <c r="K20" s="24"/>
      <c r="L20" s="25"/>
    </row>
    <row r="21" spans="1:12" ht="15.75" x14ac:dyDescent="0.25">
      <c r="A21" s="20" t="s">
        <v>30</v>
      </c>
      <c r="B21" s="21" t="s">
        <v>1381</v>
      </c>
      <c r="C21" s="28" t="s">
        <v>70</v>
      </c>
      <c r="D21" s="29" t="s">
        <v>1748</v>
      </c>
      <c r="E21" s="40" t="s">
        <v>139</v>
      </c>
      <c r="F21" s="22">
        <v>4000</v>
      </c>
      <c r="G21" s="22">
        <v>40000</v>
      </c>
      <c r="H21" s="23">
        <v>4000</v>
      </c>
      <c r="I21" s="22">
        <f t="shared" si="0"/>
        <v>36000</v>
      </c>
      <c r="J21" s="22" t="s">
        <v>16</v>
      </c>
      <c r="K21" s="24"/>
      <c r="L21" s="25"/>
    </row>
    <row r="22" spans="1:12" ht="15.75" x14ac:dyDescent="0.25">
      <c r="A22" s="20" t="s">
        <v>82</v>
      </c>
      <c r="B22" s="21" t="s">
        <v>1537</v>
      </c>
      <c r="C22" s="28" t="s">
        <v>15</v>
      </c>
      <c r="D22" s="66" t="s">
        <v>1714</v>
      </c>
      <c r="E22" s="40" t="s">
        <v>81</v>
      </c>
      <c r="F22" s="22">
        <v>85</v>
      </c>
      <c r="G22" s="42">
        <v>2000</v>
      </c>
      <c r="H22" s="23">
        <f>140+85</f>
        <v>225</v>
      </c>
      <c r="I22" s="22">
        <f t="shared" si="0"/>
        <v>1775</v>
      </c>
      <c r="J22" s="22" t="s">
        <v>16</v>
      </c>
      <c r="K22" s="24"/>
      <c r="L22" s="25"/>
    </row>
    <row r="23" spans="1:12" ht="15.75" x14ac:dyDescent="0.25">
      <c r="A23" s="20" t="s">
        <v>14</v>
      </c>
      <c r="B23" s="21" t="s">
        <v>1750</v>
      </c>
      <c r="C23" s="28" t="s">
        <v>15</v>
      </c>
      <c r="D23" s="66" t="s">
        <v>1543</v>
      </c>
      <c r="E23" s="40" t="s">
        <v>1560</v>
      </c>
      <c r="F23" s="22">
        <v>2000</v>
      </c>
      <c r="G23" s="22">
        <v>5000</v>
      </c>
      <c r="H23" s="23">
        <v>2000</v>
      </c>
      <c r="I23" s="22">
        <f>G23-H23</f>
        <v>3000</v>
      </c>
      <c r="J23" s="22" t="s">
        <v>16</v>
      </c>
      <c r="K23" s="24"/>
      <c r="L23" s="25"/>
    </row>
    <row r="24" spans="1:12" ht="16.5" thickBot="1" x14ac:dyDescent="0.3">
      <c r="A24" s="43"/>
      <c r="B24" s="44"/>
      <c r="C24" s="45"/>
      <c r="D24" s="67"/>
      <c r="E24" s="47"/>
      <c r="F24" s="48"/>
      <c r="G24" s="62"/>
      <c r="H24" s="49"/>
      <c r="I24" s="48"/>
      <c r="J24" s="48"/>
      <c r="K24" s="50"/>
      <c r="L24" s="51"/>
    </row>
    <row r="25" spans="1:12" ht="16.5" thickBot="1" x14ac:dyDescent="0.3">
      <c r="A25" s="71"/>
      <c r="B25" s="72"/>
      <c r="C25" s="73"/>
      <c r="D25" s="74"/>
      <c r="E25" s="75"/>
      <c r="F25" s="76"/>
      <c r="G25" s="76"/>
      <c r="H25" s="77"/>
      <c r="I25" s="76"/>
      <c r="J25" s="76"/>
      <c r="K25" s="78"/>
      <c r="L25" s="79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2:L23"/>
  <sheetViews>
    <sheetView workbookViewId="0">
      <pane xSplit="3" topLeftCell="F1" activePane="topRight" state="frozen"/>
      <selection pane="topRight" activeCell="B7" sqref="B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244</v>
      </c>
      <c r="B4" s="15" t="s">
        <v>1381</v>
      </c>
      <c r="C4" s="26" t="s">
        <v>15</v>
      </c>
      <c r="D4" s="65" t="s">
        <v>987</v>
      </c>
      <c r="E4" s="39" t="s">
        <v>1735</v>
      </c>
      <c r="F4" s="16">
        <v>3</v>
      </c>
      <c r="G4" s="16">
        <v>20</v>
      </c>
      <c r="H4" s="17">
        <f>17+3</f>
        <v>20</v>
      </c>
      <c r="I4" s="16">
        <f>G4-H4</f>
        <v>0</v>
      </c>
      <c r="J4" s="16" t="s">
        <v>23</v>
      </c>
      <c r="K4" s="18"/>
      <c r="L4" s="19"/>
    </row>
    <row r="5" spans="1:12" ht="15.75" x14ac:dyDescent="0.25">
      <c r="A5" s="20" t="s">
        <v>44</v>
      </c>
      <c r="B5" s="21" t="s">
        <v>1739</v>
      </c>
      <c r="C5" s="28" t="s">
        <v>1002</v>
      </c>
      <c r="D5" s="66" t="s">
        <v>1740</v>
      </c>
      <c r="E5" s="40" t="s">
        <v>1003</v>
      </c>
      <c r="F5" s="22">
        <v>3000</v>
      </c>
      <c r="G5" s="42">
        <v>20000</v>
      </c>
      <c r="H5" s="23">
        <f>16000+3000</f>
        <v>19000</v>
      </c>
      <c r="I5" s="22">
        <f t="shared" ref="I5:I20" si="0">G5-H5</f>
        <v>1000</v>
      </c>
      <c r="J5" s="22" t="s">
        <v>16</v>
      </c>
      <c r="K5" s="24"/>
      <c r="L5" s="25"/>
    </row>
    <row r="6" spans="1:12" ht="15.75" x14ac:dyDescent="0.25">
      <c r="A6" s="20" t="s">
        <v>20</v>
      </c>
      <c r="B6" s="21" t="s">
        <v>1755</v>
      </c>
      <c r="C6" s="28" t="s">
        <v>1104</v>
      </c>
      <c r="D6" s="29" t="s">
        <v>42</v>
      </c>
      <c r="E6" s="40" t="s">
        <v>1756</v>
      </c>
      <c r="F6" s="22">
        <v>5450</v>
      </c>
      <c r="G6" s="22">
        <v>5000</v>
      </c>
      <c r="H6" s="23">
        <v>5450</v>
      </c>
      <c r="I6" s="22">
        <f t="shared" si="0"/>
        <v>-450</v>
      </c>
      <c r="J6" s="22" t="s">
        <v>24</v>
      </c>
      <c r="K6" s="24"/>
      <c r="L6" s="25"/>
    </row>
    <row r="7" spans="1:12" ht="15.75" x14ac:dyDescent="0.25">
      <c r="A7" s="20" t="s">
        <v>17</v>
      </c>
      <c r="B7" s="21" t="s">
        <v>1742</v>
      </c>
      <c r="C7" s="28" t="s">
        <v>401</v>
      </c>
      <c r="D7" s="66" t="s">
        <v>18</v>
      </c>
      <c r="E7" s="40" t="s">
        <v>99</v>
      </c>
      <c r="F7" s="22">
        <v>1800</v>
      </c>
      <c r="G7" s="42">
        <v>15000</v>
      </c>
      <c r="H7" s="23">
        <f>7750+1800</f>
        <v>9550</v>
      </c>
      <c r="I7" s="22">
        <f t="shared" si="0"/>
        <v>5450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1757</v>
      </c>
      <c r="C8" s="28" t="s">
        <v>1227</v>
      </c>
      <c r="D8" s="66" t="s">
        <v>1758</v>
      </c>
      <c r="E8" s="40" t="s">
        <v>491</v>
      </c>
      <c r="F8" s="22">
        <v>12000</v>
      </c>
      <c r="G8" s="42">
        <v>120000</v>
      </c>
      <c r="H8" s="23">
        <v>12000</v>
      </c>
      <c r="I8" s="22">
        <f t="shared" si="0"/>
        <v>108000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1743</v>
      </c>
      <c r="C9" s="28" t="s">
        <v>15</v>
      </c>
      <c r="D9" s="66" t="s">
        <v>18</v>
      </c>
      <c r="E9" s="40" t="s">
        <v>230</v>
      </c>
      <c r="F9" s="22">
        <v>56000</v>
      </c>
      <c r="G9" s="42">
        <v>200000</v>
      </c>
      <c r="H9" s="23">
        <f>28000+56000</f>
        <v>84000</v>
      </c>
      <c r="I9" s="22">
        <f t="shared" si="0"/>
        <v>116000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1759</v>
      </c>
      <c r="C10" s="28" t="s">
        <v>1760</v>
      </c>
      <c r="D10" s="66" t="s">
        <v>27</v>
      </c>
      <c r="E10" s="40" t="s">
        <v>1761</v>
      </c>
      <c r="F10" s="22">
        <v>21150</v>
      </c>
      <c r="G10" s="22">
        <v>20000</v>
      </c>
      <c r="H10" s="23">
        <v>21150</v>
      </c>
      <c r="I10" s="22">
        <f t="shared" si="0"/>
        <v>-1150</v>
      </c>
      <c r="J10" s="22" t="s">
        <v>24</v>
      </c>
      <c r="K10" s="24"/>
      <c r="L10" s="25"/>
    </row>
    <row r="11" spans="1:12" ht="15.75" x14ac:dyDescent="0.25">
      <c r="A11" s="20" t="s">
        <v>21</v>
      </c>
      <c r="B11" s="21" t="s">
        <v>1744</v>
      </c>
      <c r="C11" s="28" t="s">
        <v>41</v>
      </c>
      <c r="D11" s="66" t="s">
        <v>1745</v>
      </c>
      <c r="E11" s="40" t="s">
        <v>1240</v>
      </c>
      <c r="F11" s="22">
        <v>15000</v>
      </c>
      <c r="G11" s="22">
        <v>60000</v>
      </c>
      <c r="H11" s="23">
        <f>23000+15000</f>
        <v>38000</v>
      </c>
      <c r="I11" s="22">
        <f t="shared" si="0"/>
        <v>22000</v>
      </c>
      <c r="J11" s="22" t="s">
        <v>16</v>
      </c>
      <c r="K11" s="24"/>
      <c r="L11" s="25"/>
    </row>
    <row r="12" spans="1:12" ht="15.75" x14ac:dyDescent="0.25">
      <c r="A12" s="20" t="s">
        <v>19</v>
      </c>
      <c r="B12" s="21" t="s">
        <v>1762</v>
      </c>
      <c r="C12" s="28" t="s">
        <v>1763</v>
      </c>
      <c r="D12" s="66" t="s">
        <v>1764</v>
      </c>
      <c r="E12" s="40" t="s">
        <v>1765</v>
      </c>
      <c r="F12" s="22">
        <v>2440</v>
      </c>
      <c r="G12" s="22">
        <v>2500</v>
      </c>
      <c r="H12" s="23">
        <v>2440</v>
      </c>
      <c r="I12" s="22">
        <f t="shared" si="0"/>
        <v>60</v>
      </c>
      <c r="J12" s="22" t="s">
        <v>31</v>
      </c>
      <c r="K12" s="24"/>
      <c r="L12" s="25"/>
    </row>
    <row r="13" spans="1:12" ht="15.75" x14ac:dyDescent="0.25">
      <c r="A13" s="20" t="s">
        <v>19</v>
      </c>
      <c r="B13" s="21" t="s">
        <v>1766</v>
      </c>
      <c r="C13" s="28" t="s">
        <v>1763</v>
      </c>
      <c r="D13" s="29" t="s">
        <v>1767</v>
      </c>
      <c r="E13" s="40" t="s">
        <v>1765</v>
      </c>
      <c r="F13" s="22">
        <v>2740</v>
      </c>
      <c r="G13" s="42">
        <v>2500</v>
      </c>
      <c r="H13" s="23">
        <v>2740</v>
      </c>
      <c r="I13" s="22">
        <f t="shared" si="0"/>
        <v>-240</v>
      </c>
      <c r="J13" s="22" t="s">
        <v>24</v>
      </c>
      <c r="K13" s="24"/>
      <c r="L13" s="25"/>
    </row>
    <row r="14" spans="1:12" ht="15.75" x14ac:dyDescent="0.25">
      <c r="A14" s="20" t="s">
        <v>19</v>
      </c>
      <c r="B14" s="21" t="s">
        <v>1768</v>
      </c>
      <c r="C14" s="28" t="s">
        <v>1763</v>
      </c>
      <c r="D14" s="66" t="s">
        <v>1769</v>
      </c>
      <c r="E14" s="40" t="s">
        <v>1765</v>
      </c>
      <c r="F14" s="22">
        <v>2540</v>
      </c>
      <c r="G14" s="22">
        <v>2500</v>
      </c>
      <c r="H14" s="23">
        <v>2540</v>
      </c>
      <c r="I14" s="22">
        <f t="shared" si="0"/>
        <v>-40</v>
      </c>
      <c r="J14" s="22" t="s">
        <v>24</v>
      </c>
      <c r="K14" s="24"/>
      <c r="L14" s="25"/>
    </row>
    <row r="15" spans="1:12" ht="15.75" x14ac:dyDescent="0.25">
      <c r="A15" s="20" t="s">
        <v>19</v>
      </c>
      <c r="B15" s="21" t="s">
        <v>1770</v>
      </c>
      <c r="C15" s="28" t="s">
        <v>1763</v>
      </c>
      <c r="D15" s="66" t="s">
        <v>1771</v>
      </c>
      <c r="E15" s="40" t="s">
        <v>1765</v>
      </c>
      <c r="F15" s="22">
        <v>2690</v>
      </c>
      <c r="G15" s="22">
        <v>2500</v>
      </c>
      <c r="H15" s="23">
        <v>22920</v>
      </c>
      <c r="I15" s="22">
        <f t="shared" si="0"/>
        <v>-20420</v>
      </c>
      <c r="J15" s="22" t="s">
        <v>16</v>
      </c>
      <c r="K15" s="24"/>
      <c r="L15" s="25"/>
    </row>
    <row r="16" spans="1:12" ht="15.75" x14ac:dyDescent="0.25">
      <c r="A16" s="20" t="s">
        <v>22</v>
      </c>
      <c r="B16" s="21" t="s">
        <v>1772</v>
      </c>
      <c r="C16" s="28" t="s">
        <v>588</v>
      </c>
      <c r="D16" s="66" t="s">
        <v>440</v>
      </c>
      <c r="E16" s="40" t="s">
        <v>1773</v>
      </c>
      <c r="F16" s="22">
        <v>54.3</v>
      </c>
      <c r="G16" s="42">
        <v>50</v>
      </c>
      <c r="H16" s="23">
        <v>54.3</v>
      </c>
      <c r="I16" s="22">
        <f t="shared" si="0"/>
        <v>-4.2999999999999972</v>
      </c>
      <c r="J16" s="22" t="s">
        <v>24</v>
      </c>
      <c r="K16" s="24"/>
      <c r="L16" s="25"/>
    </row>
    <row r="17" spans="1:12" ht="15.75" x14ac:dyDescent="0.25">
      <c r="A17" s="20" t="s">
        <v>44</v>
      </c>
      <c r="B17" s="21" t="s">
        <v>1576</v>
      </c>
      <c r="C17" s="28" t="s">
        <v>15</v>
      </c>
      <c r="D17" s="66" t="s">
        <v>68</v>
      </c>
      <c r="E17" s="40" t="s">
        <v>69</v>
      </c>
      <c r="F17" s="22">
        <v>20000</v>
      </c>
      <c r="G17" s="42">
        <v>2000000</v>
      </c>
      <c r="H17" s="23">
        <f>70000+20000</f>
        <v>90000</v>
      </c>
      <c r="I17" s="22">
        <f t="shared" si="0"/>
        <v>1910000</v>
      </c>
      <c r="J17" s="22" t="s">
        <v>16</v>
      </c>
      <c r="K17" s="24"/>
      <c r="L17" s="25"/>
    </row>
    <row r="18" spans="1:12" ht="15.75" x14ac:dyDescent="0.25">
      <c r="A18" s="20" t="s">
        <v>17</v>
      </c>
      <c r="B18" s="93" t="s">
        <v>1754</v>
      </c>
      <c r="C18" s="28" t="s">
        <v>648</v>
      </c>
      <c r="D18" s="66" t="s">
        <v>215</v>
      </c>
      <c r="E18" s="40" t="s">
        <v>649</v>
      </c>
      <c r="F18" s="22">
        <f>4500+950</f>
        <v>5450</v>
      </c>
      <c r="G18" s="22">
        <v>5000</v>
      </c>
      <c r="H18" s="23">
        <v>5450</v>
      </c>
      <c r="I18" s="22">
        <f t="shared" si="0"/>
        <v>-450</v>
      </c>
      <c r="J18" s="22" t="s">
        <v>24</v>
      </c>
      <c r="K18" s="24"/>
      <c r="L18" s="25"/>
    </row>
    <row r="19" spans="1:12" ht="15.75" x14ac:dyDescent="0.25">
      <c r="A19" s="20" t="s">
        <v>30</v>
      </c>
      <c r="B19" s="21" t="s">
        <v>1381</v>
      </c>
      <c r="C19" s="28" t="s">
        <v>70</v>
      </c>
      <c r="D19" s="29" t="s">
        <v>1748</v>
      </c>
      <c r="E19" s="40" t="s">
        <v>139</v>
      </c>
      <c r="F19" s="22">
        <v>10000</v>
      </c>
      <c r="G19" s="22">
        <v>40000</v>
      </c>
      <c r="H19" s="23">
        <f>4000+10000</f>
        <v>14000</v>
      </c>
      <c r="I19" s="22">
        <f t="shared" si="0"/>
        <v>26000</v>
      </c>
      <c r="J19" s="22" t="s">
        <v>16</v>
      </c>
      <c r="K19" s="24"/>
      <c r="L19" s="25"/>
    </row>
    <row r="20" spans="1:12" ht="15.75" x14ac:dyDescent="0.25">
      <c r="A20" s="20" t="s">
        <v>14</v>
      </c>
      <c r="B20" s="21" t="s">
        <v>1751</v>
      </c>
      <c r="C20" s="28" t="s">
        <v>1752</v>
      </c>
      <c r="D20" s="66" t="s">
        <v>27</v>
      </c>
      <c r="E20" s="40" t="s">
        <v>1753</v>
      </c>
      <c r="F20" s="22">
        <v>9000</v>
      </c>
      <c r="G20" s="42">
        <v>10000</v>
      </c>
      <c r="H20" s="23">
        <v>9000</v>
      </c>
      <c r="I20" s="22">
        <f t="shared" si="0"/>
        <v>1000</v>
      </c>
      <c r="J20" s="22" t="s">
        <v>16</v>
      </c>
      <c r="K20" s="24"/>
      <c r="L20" s="25"/>
    </row>
    <row r="21" spans="1:12" ht="15.75" x14ac:dyDescent="0.25">
      <c r="A21" s="20" t="s">
        <v>14</v>
      </c>
      <c r="B21" s="21" t="s">
        <v>1750</v>
      </c>
      <c r="C21" s="28" t="s">
        <v>15</v>
      </c>
      <c r="D21" s="66" t="s">
        <v>1543</v>
      </c>
      <c r="E21" s="40" t="s">
        <v>1560</v>
      </c>
      <c r="F21" s="22">
        <v>1500</v>
      </c>
      <c r="G21" s="22">
        <v>5000</v>
      </c>
      <c r="H21" s="23">
        <f>2000+1500</f>
        <v>3500</v>
      </c>
      <c r="I21" s="22">
        <f>G21-H21</f>
        <v>1500</v>
      </c>
      <c r="J21" s="22" t="s">
        <v>16</v>
      </c>
      <c r="K21" s="24"/>
      <c r="L21" s="25"/>
    </row>
    <row r="22" spans="1:12" ht="16.5" thickBot="1" x14ac:dyDescent="0.3">
      <c r="A22" s="43"/>
      <c r="B22" s="44"/>
      <c r="C22" s="45"/>
      <c r="D22" s="67"/>
      <c r="E22" s="47"/>
      <c r="F22" s="48"/>
      <c r="G22" s="62"/>
      <c r="H22" s="49"/>
      <c r="I22" s="48"/>
      <c r="J22" s="48"/>
      <c r="K22" s="50"/>
      <c r="L22" s="51"/>
    </row>
    <row r="23" spans="1:12" ht="16.5" thickBot="1" x14ac:dyDescent="0.3">
      <c r="A23" s="71"/>
      <c r="B23" s="72"/>
      <c r="C23" s="73"/>
      <c r="D23" s="74"/>
      <c r="E23" s="75"/>
      <c r="F23" s="76"/>
      <c r="G23" s="76"/>
      <c r="H23" s="77"/>
      <c r="I23" s="76"/>
      <c r="J23" s="76"/>
      <c r="K23" s="78"/>
      <c r="L23" s="79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2:L16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1634</v>
      </c>
      <c r="C4" s="26" t="s">
        <v>85</v>
      </c>
      <c r="D4" s="65" t="s">
        <v>1774</v>
      </c>
      <c r="E4" s="39" t="s">
        <v>38</v>
      </c>
      <c r="F4" s="16">
        <v>325.89999999999998</v>
      </c>
      <c r="G4" s="16">
        <v>1000</v>
      </c>
      <c r="H4" s="17">
        <v>325.89999999999998</v>
      </c>
      <c r="I4" s="16">
        <f>G4-H4</f>
        <v>674.1</v>
      </c>
      <c r="J4" s="16" t="s">
        <v>16</v>
      </c>
      <c r="K4" s="18"/>
      <c r="L4" s="19"/>
    </row>
    <row r="5" spans="1:12" ht="15.75" x14ac:dyDescent="0.25">
      <c r="A5" s="20" t="s">
        <v>14</v>
      </c>
      <c r="B5" s="21" t="s">
        <v>1669</v>
      </c>
      <c r="C5" s="28" t="s">
        <v>15</v>
      </c>
      <c r="D5" s="66" t="s">
        <v>1543</v>
      </c>
      <c r="E5" s="40" t="s">
        <v>220</v>
      </c>
      <c r="F5" s="22">
        <v>3000</v>
      </c>
      <c r="G5" s="42">
        <v>20000</v>
      </c>
      <c r="H5" s="23">
        <v>21000</v>
      </c>
      <c r="I5" s="22">
        <f t="shared" ref="I5:I13" si="0">G5-H5</f>
        <v>-1000</v>
      </c>
      <c r="J5" s="22" t="s">
        <v>24</v>
      </c>
      <c r="K5" s="24"/>
      <c r="L5" s="25"/>
    </row>
    <row r="6" spans="1:12" ht="15.75" x14ac:dyDescent="0.25">
      <c r="A6" s="20" t="s">
        <v>30</v>
      </c>
      <c r="B6" s="21" t="s">
        <v>1775</v>
      </c>
      <c r="C6" s="28" t="s">
        <v>554</v>
      </c>
      <c r="D6" s="29" t="s">
        <v>37</v>
      </c>
      <c r="E6" s="40" t="s">
        <v>313</v>
      </c>
      <c r="F6" s="22">
        <v>12000</v>
      </c>
      <c r="G6" s="22">
        <v>21500</v>
      </c>
      <c r="H6" s="23">
        <v>12000</v>
      </c>
      <c r="I6" s="22">
        <f t="shared" si="0"/>
        <v>9500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1742</v>
      </c>
      <c r="C7" s="28" t="s">
        <v>401</v>
      </c>
      <c r="D7" s="66" t="s">
        <v>18</v>
      </c>
      <c r="E7" s="40" t="s">
        <v>99</v>
      </c>
      <c r="F7" s="22">
        <v>5150</v>
      </c>
      <c r="G7" s="42">
        <v>15000</v>
      </c>
      <c r="H7" s="23">
        <f>7750+1800+5150</f>
        <v>14700</v>
      </c>
      <c r="I7" s="22">
        <f t="shared" si="0"/>
        <v>300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1757</v>
      </c>
      <c r="C8" s="28" t="s">
        <v>1227</v>
      </c>
      <c r="D8" s="66" t="s">
        <v>1758</v>
      </c>
      <c r="E8" s="40" t="s">
        <v>491</v>
      </c>
      <c r="F8" s="22">
        <v>72000</v>
      </c>
      <c r="G8" s="42">
        <v>120000</v>
      </c>
      <c r="H8" s="23">
        <f>12000+72000</f>
        <v>84000</v>
      </c>
      <c r="I8" s="22">
        <f t="shared" si="0"/>
        <v>36000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1743</v>
      </c>
      <c r="C9" s="28" t="s">
        <v>15</v>
      </c>
      <c r="D9" s="66" t="s">
        <v>18</v>
      </c>
      <c r="E9" s="40" t="s">
        <v>427</v>
      </c>
      <c r="F9" s="22">
        <v>21000</v>
      </c>
      <c r="G9" s="42">
        <v>50000</v>
      </c>
      <c r="H9" s="23">
        <v>21000</v>
      </c>
      <c r="I9" s="22">
        <f t="shared" si="0"/>
        <v>29000</v>
      </c>
      <c r="J9" s="22" t="s">
        <v>16</v>
      </c>
      <c r="K9" s="24"/>
      <c r="L9" s="25"/>
    </row>
    <row r="10" spans="1:12" ht="15.75" x14ac:dyDescent="0.25">
      <c r="A10" s="20" t="s">
        <v>228</v>
      </c>
      <c r="B10" s="21" t="s">
        <v>1743</v>
      </c>
      <c r="C10" s="28" t="s">
        <v>15</v>
      </c>
      <c r="D10" s="66" t="s">
        <v>18</v>
      </c>
      <c r="E10" s="40" t="s">
        <v>230</v>
      </c>
      <c r="F10" s="22">
        <v>26900</v>
      </c>
      <c r="G10" s="22">
        <v>200000</v>
      </c>
      <c r="H10" s="23">
        <v>26900</v>
      </c>
      <c r="I10" s="22">
        <f t="shared" si="0"/>
        <v>173100</v>
      </c>
      <c r="J10" s="22" t="s">
        <v>16</v>
      </c>
      <c r="K10" s="24"/>
      <c r="L10" s="25"/>
    </row>
    <row r="11" spans="1:12" ht="15.75" x14ac:dyDescent="0.25">
      <c r="A11" s="20" t="s">
        <v>228</v>
      </c>
      <c r="B11" s="21" t="s">
        <v>1777</v>
      </c>
      <c r="C11" s="28" t="s">
        <v>210</v>
      </c>
      <c r="D11" s="66" t="s">
        <v>18</v>
      </c>
      <c r="E11" s="40" t="s">
        <v>427</v>
      </c>
      <c r="F11" s="22">
        <v>21000</v>
      </c>
      <c r="G11" s="22">
        <v>100000</v>
      </c>
      <c r="H11" s="23">
        <v>21000</v>
      </c>
      <c r="I11" s="22">
        <f t="shared" si="0"/>
        <v>79000</v>
      </c>
      <c r="J11" s="22" t="s">
        <v>16</v>
      </c>
      <c r="K11" s="24"/>
      <c r="L11" s="25"/>
    </row>
    <row r="12" spans="1:12" ht="15.75" x14ac:dyDescent="0.25">
      <c r="A12" s="20" t="s">
        <v>569</v>
      </c>
      <c r="B12" s="21" t="s">
        <v>1259</v>
      </c>
      <c r="C12" s="28" t="s">
        <v>151</v>
      </c>
      <c r="D12" s="66" t="s">
        <v>680</v>
      </c>
      <c r="E12" s="40" t="s">
        <v>1260</v>
      </c>
      <c r="F12" s="22">
        <v>1080.3</v>
      </c>
      <c r="G12" s="22">
        <v>30000</v>
      </c>
      <c r="H12" s="23">
        <v>13190.3</v>
      </c>
      <c r="I12" s="22">
        <f t="shared" si="0"/>
        <v>16809.7</v>
      </c>
      <c r="J12" s="22" t="s">
        <v>16</v>
      </c>
      <c r="K12" s="24"/>
      <c r="L12" s="25"/>
    </row>
    <row r="13" spans="1:12" ht="15.75" x14ac:dyDescent="0.25">
      <c r="A13" s="20" t="s">
        <v>14</v>
      </c>
      <c r="B13" s="21" t="s">
        <v>1751</v>
      </c>
      <c r="C13" s="28" t="s">
        <v>1752</v>
      </c>
      <c r="D13" s="66" t="s">
        <v>27</v>
      </c>
      <c r="E13" s="40" t="s">
        <v>1753</v>
      </c>
      <c r="F13" s="22">
        <v>9000</v>
      </c>
      <c r="G13" s="42">
        <v>10000</v>
      </c>
      <c r="H13" s="23">
        <v>9000</v>
      </c>
      <c r="I13" s="22">
        <f t="shared" si="0"/>
        <v>1000</v>
      </c>
      <c r="J13" s="22" t="s">
        <v>16</v>
      </c>
      <c r="K13" s="24"/>
      <c r="L13" s="25"/>
    </row>
    <row r="14" spans="1:12" ht="15.75" x14ac:dyDescent="0.25">
      <c r="A14" s="20" t="s">
        <v>14</v>
      </c>
      <c r="B14" s="21" t="s">
        <v>1750</v>
      </c>
      <c r="C14" s="28" t="s">
        <v>15</v>
      </c>
      <c r="D14" s="66" t="s">
        <v>1543</v>
      </c>
      <c r="E14" s="40" t="s">
        <v>1560</v>
      </c>
      <c r="F14" s="22">
        <v>2240</v>
      </c>
      <c r="G14" s="22">
        <v>20000</v>
      </c>
      <c r="H14" s="23">
        <f>2000+1500+2240</f>
        <v>5740</v>
      </c>
      <c r="I14" s="22">
        <f>G14-H14</f>
        <v>14260</v>
      </c>
      <c r="J14" s="22" t="s">
        <v>16</v>
      </c>
      <c r="K14" s="24"/>
      <c r="L14" s="25"/>
    </row>
    <row r="15" spans="1:12" ht="16.5" thickBot="1" x14ac:dyDescent="0.3">
      <c r="A15" s="43"/>
      <c r="B15" s="44"/>
      <c r="C15" s="45"/>
      <c r="D15" s="67"/>
      <c r="E15" s="47"/>
      <c r="F15" s="48"/>
      <c r="G15" s="62"/>
      <c r="H15" s="49"/>
      <c r="I15" s="48"/>
      <c r="J15" s="48"/>
      <c r="K15" s="50"/>
      <c r="L15" s="51"/>
    </row>
    <row r="16" spans="1:12" ht="16.5" thickBot="1" x14ac:dyDescent="0.3">
      <c r="A16" s="71"/>
      <c r="B16" s="72"/>
      <c r="C16" s="73"/>
      <c r="D16" s="74"/>
      <c r="E16" s="75"/>
      <c r="F16" s="76"/>
      <c r="G16" s="76"/>
      <c r="H16" s="77"/>
      <c r="I16" s="76"/>
      <c r="J16" s="76"/>
      <c r="K16" s="78"/>
      <c r="L16" s="79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X90"/>
  <sheetViews>
    <sheetView topLeftCell="A19" workbookViewId="0">
      <selection activeCell="W19" sqref="A1:W1048576"/>
    </sheetView>
  </sheetViews>
  <sheetFormatPr defaultRowHeight="15" x14ac:dyDescent="0.25"/>
  <sheetData>
    <row r="1" spans="1:24" x14ac:dyDescent="0.25">
      <c r="A1">
        <v>15.2</v>
      </c>
      <c r="B1">
        <v>14.5</v>
      </c>
      <c r="C1">
        <v>15.6</v>
      </c>
      <c r="D1">
        <v>15.1</v>
      </c>
      <c r="E1">
        <v>13.8</v>
      </c>
      <c r="F1">
        <v>14.7</v>
      </c>
      <c r="G1">
        <v>15.4</v>
      </c>
      <c r="H1">
        <v>15.4</v>
      </c>
      <c r="I1">
        <v>14.6</v>
      </c>
      <c r="J1">
        <v>15.6</v>
      </c>
      <c r="K1">
        <v>14.7</v>
      </c>
      <c r="L1">
        <v>15.1</v>
      </c>
      <c r="M1">
        <v>18.8</v>
      </c>
      <c r="N1">
        <v>14.6</v>
      </c>
      <c r="O1">
        <v>14.9</v>
      </c>
      <c r="P1">
        <v>14.7</v>
      </c>
      <c r="Q1">
        <v>15.1</v>
      </c>
      <c r="R1">
        <v>15.1</v>
      </c>
      <c r="S1">
        <v>15.1</v>
      </c>
      <c r="T1">
        <v>14.6</v>
      </c>
      <c r="U1">
        <v>14.3</v>
      </c>
      <c r="V1">
        <v>14.9</v>
      </c>
      <c r="W1">
        <v>15.9</v>
      </c>
      <c r="X1">
        <v>14.4</v>
      </c>
    </row>
    <row r="2" spans="1:24" x14ac:dyDescent="0.25">
      <c r="A2">
        <v>15.4</v>
      </c>
      <c r="B2">
        <v>14.1</v>
      </c>
      <c r="C2">
        <v>14.2</v>
      </c>
      <c r="D2">
        <v>14.9</v>
      </c>
      <c r="E2">
        <v>13.8</v>
      </c>
      <c r="F2">
        <v>14.9</v>
      </c>
      <c r="G2">
        <v>15.6</v>
      </c>
      <c r="H2">
        <v>13.7</v>
      </c>
      <c r="I2">
        <v>14.5</v>
      </c>
      <c r="J2">
        <v>14.2</v>
      </c>
      <c r="K2">
        <v>14.7</v>
      </c>
      <c r="L2">
        <v>16.2</v>
      </c>
      <c r="M2">
        <v>15.3</v>
      </c>
      <c r="N2">
        <v>16.75</v>
      </c>
      <c r="O2">
        <v>14.5</v>
      </c>
      <c r="P2">
        <v>13.8</v>
      </c>
      <c r="Q2">
        <v>14.3</v>
      </c>
      <c r="R2">
        <v>15.4</v>
      </c>
      <c r="S2">
        <v>14.4</v>
      </c>
      <c r="T2">
        <v>14.3</v>
      </c>
      <c r="U2">
        <v>14.7</v>
      </c>
      <c r="V2">
        <v>15.4</v>
      </c>
      <c r="W2">
        <v>15.8</v>
      </c>
      <c r="X2">
        <v>17.399999999999999</v>
      </c>
    </row>
    <row r="3" spans="1:24" x14ac:dyDescent="0.25">
      <c r="A3">
        <v>16.2</v>
      </c>
      <c r="B3">
        <v>14.1</v>
      </c>
      <c r="C3">
        <v>13.2</v>
      </c>
      <c r="D3">
        <v>15.2</v>
      </c>
      <c r="E3">
        <v>13.8</v>
      </c>
      <c r="F3">
        <v>15.2</v>
      </c>
      <c r="G3">
        <v>14.8</v>
      </c>
      <c r="H3">
        <v>15.7</v>
      </c>
      <c r="I3">
        <v>14.1</v>
      </c>
      <c r="J3">
        <v>14.6</v>
      </c>
      <c r="K3">
        <v>14.7</v>
      </c>
      <c r="L3">
        <v>15.2</v>
      </c>
      <c r="M3">
        <v>16.7</v>
      </c>
      <c r="N3">
        <v>16.350000000000001</v>
      </c>
      <c r="O3">
        <v>15</v>
      </c>
      <c r="P3">
        <v>14.2</v>
      </c>
      <c r="Q3">
        <v>14.15</v>
      </c>
      <c r="R3">
        <v>14.8</v>
      </c>
      <c r="S3">
        <v>13.7</v>
      </c>
      <c r="T3">
        <v>14.3</v>
      </c>
      <c r="U3">
        <v>14.3</v>
      </c>
      <c r="V3">
        <v>14</v>
      </c>
      <c r="W3">
        <v>16</v>
      </c>
      <c r="X3">
        <v>15.5</v>
      </c>
    </row>
    <row r="4" spans="1:24" x14ac:dyDescent="0.25">
      <c r="A4">
        <v>15.3</v>
      </c>
      <c r="B4">
        <v>14.5</v>
      </c>
      <c r="C4">
        <v>15.35</v>
      </c>
      <c r="D4">
        <v>15.2</v>
      </c>
      <c r="E4">
        <v>14.1</v>
      </c>
      <c r="F4">
        <v>14.4</v>
      </c>
      <c r="G4">
        <v>14.8</v>
      </c>
      <c r="H4">
        <v>14.9</v>
      </c>
      <c r="I4">
        <v>14.7</v>
      </c>
      <c r="J4">
        <v>15.2</v>
      </c>
      <c r="K4">
        <v>15.2</v>
      </c>
      <c r="L4">
        <v>15.4</v>
      </c>
      <c r="M4">
        <v>15.5</v>
      </c>
      <c r="N4">
        <v>15.7</v>
      </c>
      <c r="O4">
        <v>15.6</v>
      </c>
      <c r="P4">
        <v>14.5</v>
      </c>
      <c r="Q4">
        <v>14.6</v>
      </c>
      <c r="R4">
        <v>15.3</v>
      </c>
      <c r="S4">
        <v>14.6</v>
      </c>
      <c r="T4">
        <v>15.3</v>
      </c>
      <c r="U4">
        <v>14.6</v>
      </c>
      <c r="V4">
        <v>15.3</v>
      </c>
      <c r="W4">
        <v>15.6</v>
      </c>
      <c r="X4">
        <v>16</v>
      </c>
    </row>
    <row r="5" spans="1:24" x14ac:dyDescent="0.25">
      <c r="A5">
        <v>15.2</v>
      </c>
      <c r="B5">
        <v>14.6</v>
      </c>
      <c r="C5">
        <v>15.95</v>
      </c>
      <c r="D5">
        <v>15.6</v>
      </c>
      <c r="E5">
        <v>13.3</v>
      </c>
      <c r="F5">
        <v>15.1</v>
      </c>
      <c r="G5">
        <v>14.7</v>
      </c>
      <c r="H5">
        <v>15.8</v>
      </c>
      <c r="I5">
        <v>14.8</v>
      </c>
      <c r="J5">
        <v>14.6</v>
      </c>
      <c r="K5">
        <v>14.6</v>
      </c>
      <c r="L5">
        <v>15.5</v>
      </c>
      <c r="M5">
        <v>16</v>
      </c>
      <c r="N5">
        <v>15.9</v>
      </c>
      <c r="O5">
        <v>15.4</v>
      </c>
      <c r="P5">
        <v>14.2</v>
      </c>
      <c r="Q5">
        <v>14.4</v>
      </c>
      <c r="R5">
        <v>14</v>
      </c>
      <c r="S5">
        <v>13.9</v>
      </c>
      <c r="T5">
        <v>14.6</v>
      </c>
      <c r="U5">
        <v>14.3</v>
      </c>
      <c r="V5">
        <v>14.7</v>
      </c>
      <c r="W5">
        <v>15.4</v>
      </c>
      <c r="X5">
        <v>16.079999999999998</v>
      </c>
    </row>
    <row r="6" spans="1:24" x14ac:dyDescent="0.25">
      <c r="A6">
        <v>15.3</v>
      </c>
      <c r="B6">
        <v>18</v>
      </c>
      <c r="C6">
        <v>15.15</v>
      </c>
      <c r="D6">
        <v>15.6</v>
      </c>
      <c r="E6">
        <v>13.4</v>
      </c>
      <c r="F6">
        <v>15.1</v>
      </c>
      <c r="G6">
        <v>14.7</v>
      </c>
      <c r="H6">
        <v>15.5</v>
      </c>
      <c r="I6">
        <v>14.7</v>
      </c>
      <c r="J6">
        <v>14.8</v>
      </c>
      <c r="K6">
        <v>14.9</v>
      </c>
      <c r="L6">
        <v>13.5</v>
      </c>
      <c r="M6">
        <v>15.6</v>
      </c>
      <c r="N6">
        <v>15.4</v>
      </c>
      <c r="O6">
        <v>15.5</v>
      </c>
      <c r="P6">
        <v>14.8</v>
      </c>
      <c r="Q6">
        <v>15.8</v>
      </c>
      <c r="R6">
        <v>13.9</v>
      </c>
      <c r="S6">
        <v>13.8</v>
      </c>
      <c r="T6">
        <v>14.6</v>
      </c>
      <c r="U6">
        <v>15.8</v>
      </c>
      <c r="V6">
        <v>14.5</v>
      </c>
      <c r="W6">
        <v>15</v>
      </c>
      <c r="X6">
        <v>14.3</v>
      </c>
    </row>
    <row r="7" spans="1:24" x14ac:dyDescent="0.25">
      <c r="A7">
        <v>15.3</v>
      </c>
      <c r="B7">
        <v>15.3</v>
      </c>
      <c r="C7">
        <v>15.85</v>
      </c>
      <c r="D7">
        <v>15.2</v>
      </c>
      <c r="E7">
        <v>14.2</v>
      </c>
      <c r="F7">
        <v>16.7</v>
      </c>
      <c r="G7">
        <v>14.5</v>
      </c>
      <c r="H7">
        <v>15.4</v>
      </c>
      <c r="I7">
        <v>14.5</v>
      </c>
      <c r="J7">
        <v>14.8</v>
      </c>
      <c r="K7">
        <v>14.6</v>
      </c>
      <c r="L7">
        <v>15.2</v>
      </c>
      <c r="M7">
        <v>16.399999999999999</v>
      </c>
      <c r="N7">
        <v>16.3</v>
      </c>
      <c r="O7">
        <v>15.9</v>
      </c>
      <c r="P7">
        <v>14.5</v>
      </c>
      <c r="Q7">
        <v>15.3</v>
      </c>
      <c r="R7">
        <v>15.5</v>
      </c>
      <c r="S7">
        <v>14.7</v>
      </c>
      <c r="T7">
        <v>14.6</v>
      </c>
      <c r="U7">
        <v>15.4</v>
      </c>
      <c r="V7">
        <v>14.7</v>
      </c>
      <c r="W7">
        <v>15.2</v>
      </c>
      <c r="X7">
        <v>16.2</v>
      </c>
    </row>
    <row r="8" spans="1:24" x14ac:dyDescent="0.25">
      <c r="A8">
        <v>15.4</v>
      </c>
      <c r="B8">
        <v>15.2</v>
      </c>
      <c r="C8">
        <v>16</v>
      </c>
      <c r="D8">
        <v>15.4</v>
      </c>
      <c r="E8">
        <v>14</v>
      </c>
      <c r="F8">
        <v>16</v>
      </c>
      <c r="G8">
        <v>16.5</v>
      </c>
      <c r="H8">
        <v>16.600000000000001</v>
      </c>
      <c r="I8">
        <v>14.8</v>
      </c>
      <c r="J8">
        <v>15.6</v>
      </c>
      <c r="K8">
        <v>16</v>
      </c>
      <c r="L8">
        <v>15.5</v>
      </c>
      <c r="M8">
        <v>15.8</v>
      </c>
      <c r="N8">
        <v>14.7</v>
      </c>
      <c r="O8">
        <v>15.4</v>
      </c>
      <c r="P8">
        <v>15.1</v>
      </c>
      <c r="Q8">
        <v>15.4</v>
      </c>
      <c r="R8">
        <v>14.2</v>
      </c>
      <c r="S8">
        <v>14.3</v>
      </c>
      <c r="T8">
        <v>14.8</v>
      </c>
      <c r="U8">
        <v>14.6</v>
      </c>
      <c r="V8">
        <v>14.7</v>
      </c>
      <c r="W8">
        <v>15.4</v>
      </c>
      <c r="X8">
        <v>13.7</v>
      </c>
    </row>
    <row r="9" spans="1:24" x14ac:dyDescent="0.25">
      <c r="A9">
        <v>16.3</v>
      </c>
      <c r="B9">
        <v>16</v>
      </c>
      <c r="C9">
        <v>15.45</v>
      </c>
      <c r="D9">
        <v>15.6</v>
      </c>
      <c r="E9">
        <v>13.2</v>
      </c>
      <c r="F9">
        <v>18.600000000000001</v>
      </c>
      <c r="G9">
        <v>15.5</v>
      </c>
      <c r="H9">
        <v>16</v>
      </c>
      <c r="I9">
        <v>15.1</v>
      </c>
      <c r="J9">
        <v>14.6</v>
      </c>
      <c r="K9">
        <v>14.6</v>
      </c>
      <c r="L9">
        <v>14.9</v>
      </c>
      <c r="M9">
        <v>16.100000000000001</v>
      </c>
      <c r="N9">
        <v>16.2</v>
      </c>
      <c r="O9">
        <v>18.899999999999999</v>
      </c>
      <c r="P9">
        <v>16.100000000000001</v>
      </c>
      <c r="Q9">
        <v>15.5</v>
      </c>
      <c r="R9">
        <v>15.5</v>
      </c>
      <c r="S9">
        <v>14.5</v>
      </c>
      <c r="T9">
        <v>14</v>
      </c>
      <c r="U9">
        <v>15.3</v>
      </c>
      <c r="V9">
        <v>16.5</v>
      </c>
      <c r="W9">
        <v>15.7</v>
      </c>
      <c r="X9">
        <v>14.3</v>
      </c>
    </row>
    <row r="10" spans="1:24" x14ac:dyDescent="0.25">
      <c r="A10">
        <v>15.3</v>
      </c>
      <c r="B10">
        <v>15.1</v>
      </c>
      <c r="C10">
        <v>15.5</v>
      </c>
      <c r="D10">
        <v>16</v>
      </c>
      <c r="E10">
        <v>13.8</v>
      </c>
      <c r="F10">
        <v>15.3</v>
      </c>
      <c r="G10">
        <v>16.100000000000001</v>
      </c>
      <c r="H10">
        <v>16.05</v>
      </c>
      <c r="I10">
        <v>14.9</v>
      </c>
      <c r="J10">
        <v>15.6</v>
      </c>
      <c r="K10">
        <v>14.8</v>
      </c>
      <c r="L10">
        <v>16.3</v>
      </c>
      <c r="M10">
        <v>15.4</v>
      </c>
      <c r="N10">
        <v>13.7</v>
      </c>
      <c r="O10">
        <v>16.7</v>
      </c>
      <c r="P10">
        <v>14.2</v>
      </c>
      <c r="Q10">
        <v>14.6</v>
      </c>
      <c r="R10">
        <v>14</v>
      </c>
      <c r="S10">
        <v>14.1</v>
      </c>
      <c r="T10">
        <v>13.8</v>
      </c>
      <c r="U10">
        <v>14.4</v>
      </c>
      <c r="V10">
        <v>15.9</v>
      </c>
      <c r="W10">
        <v>14.9</v>
      </c>
      <c r="X10">
        <v>17</v>
      </c>
    </row>
    <row r="11" spans="1:24" x14ac:dyDescent="0.25">
      <c r="A11">
        <v>15.1</v>
      </c>
      <c r="B11">
        <v>16.3</v>
      </c>
      <c r="C11">
        <v>15.7</v>
      </c>
      <c r="D11">
        <v>15.1</v>
      </c>
      <c r="E11">
        <v>13.1</v>
      </c>
      <c r="F11">
        <v>14.7</v>
      </c>
      <c r="G11">
        <v>15.4</v>
      </c>
      <c r="H11">
        <v>15.95</v>
      </c>
      <c r="I11">
        <v>15.2</v>
      </c>
      <c r="J11">
        <v>16.2</v>
      </c>
      <c r="K11">
        <v>14.3</v>
      </c>
      <c r="L11">
        <v>14.5</v>
      </c>
      <c r="M11">
        <v>16.5</v>
      </c>
      <c r="N11">
        <v>14</v>
      </c>
      <c r="O11">
        <v>16.7</v>
      </c>
      <c r="P11">
        <v>14.4</v>
      </c>
      <c r="Q11">
        <v>14.1</v>
      </c>
      <c r="R11">
        <v>15.5</v>
      </c>
      <c r="S11">
        <v>14.6</v>
      </c>
      <c r="T11">
        <v>14.4</v>
      </c>
      <c r="U11">
        <v>15.5</v>
      </c>
      <c r="V11">
        <v>16.3</v>
      </c>
      <c r="W11">
        <v>15.3</v>
      </c>
      <c r="X11">
        <v>15.1</v>
      </c>
    </row>
    <row r="12" spans="1:24" x14ac:dyDescent="0.25">
      <c r="A12">
        <v>15.4</v>
      </c>
      <c r="B12">
        <v>16.8</v>
      </c>
      <c r="C12">
        <v>14.5</v>
      </c>
      <c r="D12">
        <v>15.6</v>
      </c>
      <c r="E12">
        <v>13.8</v>
      </c>
      <c r="F12">
        <v>15.7</v>
      </c>
      <c r="G12">
        <v>16.3</v>
      </c>
      <c r="H12">
        <v>15.75</v>
      </c>
      <c r="I12">
        <v>14.8</v>
      </c>
      <c r="J12">
        <v>16</v>
      </c>
      <c r="K12">
        <v>14.9</v>
      </c>
      <c r="L12">
        <v>15</v>
      </c>
      <c r="M12">
        <v>15.2</v>
      </c>
      <c r="N12">
        <v>15.9</v>
      </c>
      <c r="O12">
        <v>15.9</v>
      </c>
      <c r="P12">
        <v>15.7</v>
      </c>
      <c r="Q12">
        <v>14.3</v>
      </c>
      <c r="R12">
        <v>14.8</v>
      </c>
      <c r="S12">
        <v>14.4</v>
      </c>
      <c r="T12">
        <v>14.3</v>
      </c>
      <c r="U12">
        <v>15.6</v>
      </c>
      <c r="V12">
        <v>15.5</v>
      </c>
      <c r="W12">
        <v>15</v>
      </c>
      <c r="X12">
        <v>15.9</v>
      </c>
    </row>
    <row r="13" spans="1:24" x14ac:dyDescent="0.25">
      <c r="A13">
        <v>14.9</v>
      </c>
      <c r="B13">
        <v>14.5</v>
      </c>
      <c r="C13">
        <v>15.5</v>
      </c>
      <c r="D13">
        <v>16.899999999999999</v>
      </c>
      <c r="E13">
        <v>13.9</v>
      </c>
      <c r="F13">
        <v>15.1</v>
      </c>
      <c r="G13">
        <v>16.3</v>
      </c>
      <c r="H13">
        <v>14.95</v>
      </c>
      <c r="I13">
        <v>14.5</v>
      </c>
      <c r="J13">
        <v>16</v>
      </c>
      <c r="K13">
        <v>15</v>
      </c>
      <c r="L13">
        <v>16.5</v>
      </c>
      <c r="M13">
        <v>16.2</v>
      </c>
      <c r="N13">
        <v>13.9</v>
      </c>
      <c r="O13">
        <v>16.399999999999999</v>
      </c>
      <c r="P13">
        <v>15</v>
      </c>
      <c r="Q13">
        <v>14.1</v>
      </c>
      <c r="R13">
        <v>14.8</v>
      </c>
      <c r="S13">
        <v>15.4</v>
      </c>
      <c r="T13">
        <v>14.1</v>
      </c>
      <c r="U13">
        <v>14.2</v>
      </c>
      <c r="V13">
        <v>15.5</v>
      </c>
      <c r="W13">
        <v>15.8</v>
      </c>
      <c r="X13">
        <v>15.1</v>
      </c>
    </row>
    <row r="14" spans="1:24" x14ac:dyDescent="0.25">
      <c r="A14">
        <v>15.3</v>
      </c>
      <c r="B14">
        <v>15.6</v>
      </c>
      <c r="C14">
        <v>15.1</v>
      </c>
      <c r="D14">
        <v>15.5</v>
      </c>
      <c r="E14">
        <v>15.5</v>
      </c>
      <c r="F14">
        <v>15.1</v>
      </c>
      <c r="G14">
        <v>17.399999999999999</v>
      </c>
      <c r="H14">
        <v>15.6</v>
      </c>
      <c r="I14">
        <v>14</v>
      </c>
      <c r="J14">
        <v>15.5</v>
      </c>
      <c r="K14">
        <v>14.2</v>
      </c>
      <c r="L14">
        <v>17.100000000000001</v>
      </c>
      <c r="M14">
        <v>15</v>
      </c>
      <c r="N14">
        <v>16</v>
      </c>
      <c r="O14">
        <v>15.8</v>
      </c>
      <c r="P14">
        <v>14.9</v>
      </c>
      <c r="Q14">
        <v>14.1</v>
      </c>
      <c r="R14">
        <v>14.4</v>
      </c>
      <c r="S14">
        <v>14.7</v>
      </c>
      <c r="T14">
        <v>14.6</v>
      </c>
      <c r="U14">
        <v>15.4</v>
      </c>
      <c r="V14">
        <v>16</v>
      </c>
      <c r="W14">
        <v>15.5</v>
      </c>
      <c r="X14">
        <v>15.9</v>
      </c>
    </row>
    <row r="15" spans="1:24" x14ac:dyDescent="0.25">
      <c r="A15">
        <v>15.2</v>
      </c>
      <c r="B15">
        <v>15.8</v>
      </c>
      <c r="C15">
        <v>15.3</v>
      </c>
      <c r="D15">
        <v>14.4</v>
      </c>
      <c r="E15">
        <v>15.4</v>
      </c>
      <c r="F15">
        <v>16.399999999999999</v>
      </c>
      <c r="G15">
        <v>14.9</v>
      </c>
      <c r="H15">
        <v>14.55</v>
      </c>
      <c r="I15">
        <v>14.2</v>
      </c>
      <c r="J15">
        <v>15.5</v>
      </c>
      <c r="K15">
        <v>14.3</v>
      </c>
      <c r="L15">
        <v>16.399999999999999</v>
      </c>
      <c r="M15">
        <v>16.600000000000001</v>
      </c>
      <c r="N15">
        <v>16.100000000000001</v>
      </c>
      <c r="O15">
        <v>15.5</v>
      </c>
      <c r="P15">
        <v>15.3</v>
      </c>
      <c r="Q15">
        <v>15.8</v>
      </c>
      <c r="R15">
        <v>14.9</v>
      </c>
      <c r="S15">
        <v>14.5</v>
      </c>
      <c r="T15">
        <v>14.7</v>
      </c>
      <c r="U15">
        <v>15.1</v>
      </c>
      <c r="V15">
        <v>16</v>
      </c>
      <c r="W15">
        <v>15.6</v>
      </c>
      <c r="X15">
        <v>15.66</v>
      </c>
    </row>
    <row r="16" spans="1:24" x14ac:dyDescent="0.25">
      <c r="A16">
        <v>14.2</v>
      </c>
      <c r="B16">
        <v>15</v>
      </c>
      <c r="C16">
        <v>15.5</v>
      </c>
      <c r="D16">
        <v>15.3</v>
      </c>
      <c r="E16">
        <v>14</v>
      </c>
      <c r="F16">
        <v>14.7</v>
      </c>
      <c r="G16">
        <v>14.9</v>
      </c>
      <c r="H16">
        <v>14.1</v>
      </c>
      <c r="I16">
        <v>14.6</v>
      </c>
      <c r="J16">
        <v>16.899999999999999</v>
      </c>
      <c r="K16">
        <v>14.5</v>
      </c>
      <c r="L16">
        <v>15.9</v>
      </c>
      <c r="M16">
        <v>15.2</v>
      </c>
      <c r="N16">
        <v>16.420000000000002</v>
      </c>
      <c r="O16">
        <v>15.4</v>
      </c>
      <c r="P16">
        <v>14.4</v>
      </c>
      <c r="Q16">
        <v>13.4</v>
      </c>
      <c r="R16">
        <v>15.9</v>
      </c>
      <c r="S16">
        <v>14.4</v>
      </c>
      <c r="T16">
        <v>14.7</v>
      </c>
      <c r="U16">
        <v>15.1</v>
      </c>
      <c r="V16">
        <v>15.3</v>
      </c>
      <c r="W16">
        <v>15.4</v>
      </c>
      <c r="X16">
        <v>16.399999999999999</v>
      </c>
    </row>
    <row r="17" spans="1:24" x14ac:dyDescent="0.25">
      <c r="A17">
        <v>14.5</v>
      </c>
      <c r="B17">
        <v>14.2</v>
      </c>
      <c r="C17">
        <v>13</v>
      </c>
      <c r="D17">
        <v>15.3</v>
      </c>
      <c r="E17">
        <v>14.3</v>
      </c>
      <c r="F17">
        <v>14.7</v>
      </c>
      <c r="G17">
        <v>15.5</v>
      </c>
      <c r="H17">
        <v>13.2</v>
      </c>
      <c r="I17">
        <v>14.6</v>
      </c>
      <c r="J17">
        <v>14.5</v>
      </c>
      <c r="K17">
        <v>14.5</v>
      </c>
      <c r="L17">
        <v>15.3</v>
      </c>
      <c r="M17">
        <v>15.3</v>
      </c>
      <c r="N17">
        <v>16.420000000000002</v>
      </c>
      <c r="O17">
        <v>15.8</v>
      </c>
      <c r="P17">
        <v>15.1</v>
      </c>
      <c r="Q17">
        <v>14</v>
      </c>
      <c r="R17">
        <v>15.6</v>
      </c>
      <c r="S17">
        <v>14.5</v>
      </c>
      <c r="T17">
        <v>14.4</v>
      </c>
      <c r="U17">
        <v>14.1</v>
      </c>
      <c r="V17">
        <v>14.8</v>
      </c>
      <c r="W17">
        <v>15.3</v>
      </c>
      <c r="X17">
        <v>16.899999999999999</v>
      </c>
    </row>
    <row r="18" spans="1:24" x14ac:dyDescent="0.25">
      <c r="A18">
        <v>14.1</v>
      </c>
      <c r="B18">
        <v>14.8</v>
      </c>
      <c r="C18">
        <v>14.6</v>
      </c>
      <c r="D18">
        <v>15</v>
      </c>
      <c r="E18">
        <v>13.5</v>
      </c>
      <c r="F18">
        <v>15.3</v>
      </c>
      <c r="G18">
        <v>15.3</v>
      </c>
      <c r="H18">
        <v>13.8</v>
      </c>
      <c r="I18">
        <v>14.9</v>
      </c>
      <c r="J18">
        <v>15.5</v>
      </c>
      <c r="K18">
        <v>14.1</v>
      </c>
      <c r="L18">
        <v>14.3</v>
      </c>
      <c r="M18">
        <v>16.2</v>
      </c>
      <c r="N18">
        <v>15.95</v>
      </c>
      <c r="O18">
        <v>16</v>
      </c>
      <c r="P18">
        <v>14.3</v>
      </c>
      <c r="Q18">
        <v>14.6</v>
      </c>
      <c r="R18">
        <v>14.9</v>
      </c>
      <c r="S18">
        <v>14.1</v>
      </c>
      <c r="T18">
        <v>15</v>
      </c>
      <c r="U18">
        <v>14</v>
      </c>
      <c r="V18">
        <v>14.9</v>
      </c>
      <c r="W18">
        <v>15</v>
      </c>
      <c r="X18">
        <v>16.100000000000001</v>
      </c>
    </row>
    <row r="19" spans="1:24" x14ac:dyDescent="0.25">
      <c r="A19">
        <v>14.3</v>
      </c>
      <c r="B19">
        <v>14.7</v>
      </c>
      <c r="C19">
        <v>16.2</v>
      </c>
      <c r="D19">
        <v>15.3</v>
      </c>
      <c r="E19">
        <v>15.6</v>
      </c>
      <c r="F19">
        <v>14.6</v>
      </c>
      <c r="G19">
        <v>14.5</v>
      </c>
      <c r="H19">
        <v>15.2</v>
      </c>
      <c r="I19">
        <v>15.3</v>
      </c>
      <c r="J19">
        <v>15.4</v>
      </c>
      <c r="K19">
        <v>14</v>
      </c>
      <c r="L19">
        <v>13</v>
      </c>
      <c r="M19">
        <v>15.9</v>
      </c>
      <c r="N19">
        <v>15.1</v>
      </c>
      <c r="O19">
        <v>15.4</v>
      </c>
      <c r="P19">
        <v>14.3</v>
      </c>
      <c r="Q19">
        <v>14</v>
      </c>
      <c r="R19">
        <v>14.5</v>
      </c>
      <c r="S19">
        <v>14.7</v>
      </c>
      <c r="T19">
        <v>14.4</v>
      </c>
      <c r="U19">
        <v>14.8</v>
      </c>
      <c r="V19">
        <v>15</v>
      </c>
      <c r="W19">
        <v>15.2</v>
      </c>
      <c r="X19">
        <v>16.399999999999999</v>
      </c>
    </row>
    <row r="20" spans="1:24" x14ac:dyDescent="0.25">
      <c r="A20">
        <v>14.8</v>
      </c>
      <c r="B20">
        <v>15.3</v>
      </c>
      <c r="C20">
        <v>16.05</v>
      </c>
      <c r="D20">
        <v>15.55</v>
      </c>
      <c r="E20">
        <v>13.2</v>
      </c>
      <c r="F20">
        <v>15.2</v>
      </c>
      <c r="G20">
        <v>16.899999999999999</v>
      </c>
      <c r="H20">
        <v>15.6</v>
      </c>
      <c r="I20">
        <v>14.9</v>
      </c>
      <c r="J20">
        <v>14.9</v>
      </c>
      <c r="K20">
        <v>14.5</v>
      </c>
      <c r="L20">
        <v>14.9</v>
      </c>
      <c r="M20">
        <v>16.3</v>
      </c>
      <c r="N20">
        <v>16.2</v>
      </c>
      <c r="O20">
        <v>15.1</v>
      </c>
      <c r="P20">
        <v>14.5</v>
      </c>
      <c r="Q20">
        <v>16.100000000000001</v>
      </c>
      <c r="R20">
        <v>14.5</v>
      </c>
      <c r="S20">
        <v>14.4</v>
      </c>
      <c r="T20">
        <v>15</v>
      </c>
      <c r="U20">
        <v>14</v>
      </c>
      <c r="V20">
        <v>14.7</v>
      </c>
      <c r="W20">
        <v>16</v>
      </c>
      <c r="X20">
        <v>16.2</v>
      </c>
    </row>
    <row r="21" spans="1:24" x14ac:dyDescent="0.25">
      <c r="A21">
        <v>15</v>
      </c>
      <c r="B21">
        <v>15.5</v>
      </c>
      <c r="C21">
        <v>15.85</v>
      </c>
      <c r="D21">
        <v>15.9</v>
      </c>
      <c r="E21">
        <v>13.3</v>
      </c>
      <c r="F21">
        <v>15.4</v>
      </c>
      <c r="G21">
        <v>14.6</v>
      </c>
      <c r="H21">
        <v>15.9</v>
      </c>
      <c r="I21">
        <v>14.8</v>
      </c>
      <c r="J21">
        <v>14.4</v>
      </c>
      <c r="K21">
        <v>14.8</v>
      </c>
      <c r="L21">
        <v>15.36</v>
      </c>
      <c r="M21">
        <v>15.4</v>
      </c>
      <c r="N21">
        <v>15.6</v>
      </c>
      <c r="O21">
        <v>15.8</v>
      </c>
      <c r="P21">
        <v>14.4</v>
      </c>
      <c r="Q21">
        <v>15.4</v>
      </c>
      <c r="R21">
        <v>14</v>
      </c>
      <c r="S21">
        <v>13.9</v>
      </c>
      <c r="T21">
        <v>14.3</v>
      </c>
      <c r="U21">
        <v>15.4</v>
      </c>
      <c r="V21">
        <v>14.9</v>
      </c>
      <c r="W21">
        <v>14.8</v>
      </c>
      <c r="X21">
        <v>14.4</v>
      </c>
    </row>
    <row r="22" spans="1:24" x14ac:dyDescent="0.25">
      <c r="A22">
        <v>15</v>
      </c>
      <c r="B22">
        <v>15.3</v>
      </c>
      <c r="C22">
        <v>15.85</v>
      </c>
      <c r="D22">
        <v>14.9</v>
      </c>
      <c r="E22">
        <v>14.1</v>
      </c>
      <c r="F22">
        <v>16.2</v>
      </c>
      <c r="G22">
        <v>15.9</v>
      </c>
      <c r="H22">
        <v>15.3</v>
      </c>
      <c r="I22">
        <v>14.7</v>
      </c>
      <c r="J22">
        <v>15.4</v>
      </c>
      <c r="K22">
        <v>14.7</v>
      </c>
      <c r="L22">
        <v>15</v>
      </c>
      <c r="M22">
        <v>16.399999999999999</v>
      </c>
      <c r="N22">
        <v>15.5</v>
      </c>
      <c r="O22">
        <v>15.9</v>
      </c>
      <c r="P22">
        <v>15.5</v>
      </c>
      <c r="Q22">
        <v>14.4</v>
      </c>
      <c r="R22">
        <v>15.6</v>
      </c>
      <c r="S22">
        <v>14.1</v>
      </c>
      <c r="T22">
        <v>14.7</v>
      </c>
      <c r="U22">
        <v>15.5</v>
      </c>
      <c r="V22">
        <v>14.8</v>
      </c>
      <c r="W22">
        <v>15.2</v>
      </c>
      <c r="X22">
        <v>15.3</v>
      </c>
    </row>
    <row r="23" spans="1:24" x14ac:dyDescent="0.25">
      <c r="A23">
        <v>14.9</v>
      </c>
      <c r="B23">
        <v>15.2</v>
      </c>
      <c r="C23">
        <v>16.05</v>
      </c>
      <c r="D23">
        <v>18.899999999999999</v>
      </c>
      <c r="E23">
        <v>14.4</v>
      </c>
      <c r="F23">
        <v>16.399999999999999</v>
      </c>
      <c r="G23">
        <v>15.9</v>
      </c>
      <c r="H23">
        <v>15.8</v>
      </c>
      <c r="I23">
        <v>14.3</v>
      </c>
      <c r="J23">
        <v>15.2</v>
      </c>
      <c r="K23">
        <v>14.7</v>
      </c>
      <c r="L23">
        <v>14.5</v>
      </c>
      <c r="M23">
        <v>18.2</v>
      </c>
      <c r="N23">
        <v>15.4</v>
      </c>
      <c r="O23">
        <v>16.100000000000001</v>
      </c>
      <c r="P23">
        <v>15.1</v>
      </c>
      <c r="Q23">
        <v>15.8</v>
      </c>
      <c r="R23">
        <v>14.5</v>
      </c>
      <c r="S23">
        <v>14</v>
      </c>
      <c r="T23">
        <v>14.3</v>
      </c>
      <c r="U23">
        <v>14.4</v>
      </c>
      <c r="V23">
        <v>14.9</v>
      </c>
      <c r="W23">
        <v>15.2</v>
      </c>
      <c r="X23">
        <v>15.3</v>
      </c>
    </row>
    <row r="24" spans="1:24" x14ac:dyDescent="0.25">
      <c r="A24">
        <v>14.7</v>
      </c>
      <c r="B24">
        <v>17.399999999999999</v>
      </c>
      <c r="C24">
        <v>14.95</v>
      </c>
      <c r="D24">
        <v>15.4</v>
      </c>
      <c r="E24">
        <v>13</v>
      </c>
      <c r="F24">
        <v>18.5</v>
      </c>
      <c r="G24">
        <v>16</v>
      </c>
      <c r="H24">
        <v>15.6</v>
      </c>
      <c r="I24">
        <v>16</v>
      </c>
      <c r="J24">
        <v>16.100000000000001</v>
      </c>
      <c r="K24">
        <v>15.1</v>
      </c>
      <c r="L24">
        <v>14.5</v>
      </c>
      <c r="M24">
        <v>15.4</v>
      </c>
      <c r="N24">
        <v>16.399999999999999</v>
      </c>
      <c r="O24">
        <v>15.8</v>
      </c>
      <c r="P24">
        <v>15.7</v>
      </c>
      <c r="Q24">
        <v>15.7</v>
      </c>
      <c r="R24">
        <v>15.4</v>
      </c>
      <c r="S24">
        <v>14.5</v>
      </c>
      <c r="T24">
        <v>14.5</v>
      </c>
      <c r="U24">
        <v>14.4</v>
      </c>
      <c r="V24">
        <v>16</v>
      </c>
      <c r="W24">
        <v>15.6</v>
      </c>
      <c r="X24">
        <v>15.9</v>
      </c>
    </row>
    <row r="25" spans="1:24" x14ac:dyDescent="0.25">
      <c r="A25">
        <v>14.8</v>
      </c>
      <c r="B25">
        <v>14.7</v>
      </c>
      <c r="C25">
        <v>15.9</v>
      </c>
      <c r="D25">
        <v>16.2</v>
      </c>
      <c r="E25">
        <v>13.3</v>
      </c>
      <c r="F25">
        <v>15.8</v>
      </c>
      <c r="G25">
        <v>16.100000000000001</v>
      </c>
      <c r="H25">
        <v>16.2</v>
      </c>
      <c r="I25">
        <v>15</v>
      </c>
      <c r="J25">
        <v>16</v>
      </c>
      <c r="K25">
        <v>15</v>
      </c>
      <c r="L25">
        <v>15.2</v>
      </c>
      <c r="M25">
        <v>16.100000000000001</v>
      </c>
      <c r="N25">
        <v>14</v>
      </c>
      <c r="O25">
        <v>15.6</v>
      </c>
      <c r="P25">
        <v>14.2</v>
      </c>
      <c r="Q25">
        <v>14.7</v>
      </c>
      <c r="R25">
        <v>16</v>
      </c>
      <c r="S25">
        <v>15.3</v>
      </c>
      <c r="T25">
        <v>15.2</v>
      </c>
      <c r="U25">
        <v>14.9</v>
      </c>
      <c r="V25">
        <v>15</v>
      </c>
      <c r="W25">
        <v>15.3</v>
      </c>
      <c r="X25">
        <v>16.600000000000001</v>
      </c>
    </row>
    <row r="26" spans="1:24" x14ac:dyDescent="0.25">
      <c r="A26">
        <v>14.7</v>
      </c>
      <c r="B26">
        <v>15.3</v>
      </c>
      <c r="C26">
        <v>16</v>
      </c>
      <c r="D26">
        <v>15</v>
      </c>
      <c r="E26">
        <v>12.8</v>
      </c>
      <c r="F26">
        <v>14.8</v>
      </c>
      <c r="G26">
        <v>15.5</v>
      </c>
      <c r="H26">
        <v>16.100000000000001</v>
      </c>
      <c r="I26">
        <v>14.8</v>
      </c>
      <c r="J26">
        <v>16.2</v>
      </c>
      <c r="K26">
        <v>14.6</v>
      </c>
      <c r="L26">
        <v>16.5</v>
      </c>
      <c r="M26">
        <v>15</v>
      </c>
      <c r="N26">
        <v>14.5</v>
      </c>
      <c r="O26">
        <v>16.100000000000001</v>
      </c>
      <c r="P26">
        <v>14.1</v>
      </c>
      <c r="Q26">
        <v>14.1</v>
      </c>
      <c r="R26">
        <v>14.4</v>
      </c>
      <c r="S26">
        <v>14.3</v>
      </c>
      <c r="T26">
        <v>13.6</v>
      </c>
      <c r="U26">
        <v>15.2</v>
      </c>
      <c r="V26">
        <v>15.3</v>
      </c>
      <c r="W26">
        <v>15.4</v>
      </c>
    </row>
    <row r="27" spans="1:24" x14ac:dyDescent="0.25">
      <c r="A27">
        <v>14.8</v>
      </c>
      <c r="B27">
        <v>16.899999999999999</v>
      </c>
      <c r="C27">
        <v>15.6</v>
      </c>
      <c r="D27">
        <v>15.7</v>
      </c>
      <c r="E27">
        <v>14</v>
      </c>
      <c r="F27">
        <v>14.9</v>
      </c>
      <c r="G27">
        <v>16.100000000000001</v>
      </c>
      <c r="H27">
        <v>15.9</v>
      </c>
      <c r="I27">
        <v>14.9</v>
      </c>
      <c r="J27">
        <v>15.3</v>
      </c>
      <c r="K27">
        <v>14.9</v>
      </c>
      <c r="L27">
        <v>15.8</v>
      </c>
      <c r="M27">
        <v>16.8</v>
      </c>
      <c r="N27">
        <v>15.9</v>
      </c>
      <c r="O27">
        <v>15.8</v>
      </c>
      <c r="P27">
        <v>14.8</v>
      </c>
      <c r="Q27">
        <v>14.7</v>
      </c>
      <c r="R27">
        <v>15.9</v>
      </c>
      <c r="S27">
        <v>14.8</v>
      </c>
      <c r="T27">
        <v>14.3</v>
      </c>
      <c r="U27">
        <v>15.7</v>
      </c>
      <c r="V27">
        <v>15.3</v>
      </c>
      <c r="W27">
        <v>15.4</v>
      </c>
    </row>
    <row r="28" spans="1:24" x14ac:dyDescent="0.25">
      <c r="A28">
        <v>14.8</v>
      </c>
      <c r="B28">
        <v>15.3</v>
      </c>
      <c r="C28">
        <v>15.3</v>
      </c>
      <c r="D28">
        <v>16.899999999999999</v>
      </c>
      <c r="E28">
        <v>13.5</v>
      </c>
      <c r="F28">
        <v>15</v>
      </c>
      <c r="G28">
        <v>16.3</v>
      </c>
      <c r="H28">
        <v>15.55</v>
      </c>
      <c r="I28">
        <v>14.9</v>
      </c>
      <c r="J28">
        <v>15.2</v>
      </c>
      <c r="K28">
        <v>15.2</v>
      </c>
      <c r="L28">
        <v>13.4</v>
      </c>
      <c r="M28">
        <v>14.9</v>
      </c>
      <c r="N28">
        <v>14.1</v>
      </c>
      <c r="O28">
        <v>15.3</v>
      </c>
      <c r="P28">
        <v>15.3</v>
      </c>
      <c r="Q28">
        <v>15.5</v>
      </c>
      <c r="R28">
        <v>15.7</v>
      </c>
      <c r="S28">
        <v>15.3</v>
      </c>
      <c r="T28">
        <v>14</v>
      </c>
      <c r="U28">
        <v>15.3</v>
      </c>
      <c r="V28">
        <v>15.2</v>
      </c>
      <c r="W28">
        <v>15.7</v>
      </c>
    </row>
    <row r="29" spans="1:24" x14ac:dyDescent="0.25">
      <c r="A29">
        <v>14.8</v>
      </c>
      <c r="B29">
        <v>15.6</v>
      </c>
      <c r="C29">
        <v>15.3</v>
      </c>
      <c r="D29">
        <v>15.5</v>
      </c>
      <c r="E29">
        <v>15.7</v>
      </c>
      <c r="F29">
        <v>15.2</v>
      </c>
      <c r="G29">
        <v>16.8</v>
      </c>
      <c r="H29">
        <v>16.55</v>
      </c>
      <c r="I29">
        <v>14.1</v>
      </c>
      <c r="J29">
        <v>16.3</v>
      </c>
      <c r="K29">
        <v>15.2</v>
      </c>
      <c r="L29">
        <v>16.7</v>
      </c>
      <c r="M29">
        <v>16.7</v>
      </c>
      <c r="N29">
        <v>16.399999999999999</v>
      </c>
      <c r="O29">
        <v>16.600000000000001</v>
      </c>
      <c r="P29">
        <v>14.9</v>
      </c>
      <c r="Q29">
        <v>16.100000000000001</v>
      </c>
      <c r="R29">
        <v>14.8</v>
      </c>
      <c r="S29">
        <v>14</v>
      </c>
      <c r="T29">
        <v>14.4</v>
      </c>
      <c r="U29">
        <v>14.5</v>
      </c>
      <c r="V29">
        <v>14.7</v>
      </c>
      <c r="W29">
        <v>16</v>
      </c>
    </row>
    <row r="30" spans="1:24" x14ac:dyDescent="0.25">
      <c r="A30">
        <v>14.7</v>
      </c>
      <c r="B30">
        <v>15.3</v>
      </c>
      <c r="C30">
        <v>15.4</v>
      </c>
      <c r="D30">
        <v>14.6</v>
      </c>
      <c r="E30">
        <v>15.6</v>
      </c>
      <c r="F30">
        <v>15.8</v>
      </c>
      <c r="G30">
        <v>15.9</v>
      </c>
      <c r="H30">
        <v>14.55</v>
      </c>
      <c r="I30">
        <v>14</v>
      </c>
      <c r="J30">
        <v>15.9</v>
      </c>
      <c r="K30">
        <v>15.6</v>
      </c>
      <c r="L30">
        <v>15.2</v>
      </c>
      <c r="M30">
        <v>15.86</v>
      </c>
      <c r="N30">
        <v>15.6</v>
      </c>
      <c r="O30">
        <v>16.399999999999999</v>
      </c>
      <c r="P30">
        <v>15.1</v>
      </c>
      <c r="Q30">
        <v>16.8</v>
      </c>
      <c r="R30">
        <v>14.6</v>
      </c>
      <c r="S30">
        <v>14.6</v>
      </c>
      <c r="T30">
        <v>14.4</v>
      </c>
      <c r="U30">
        <v>14.5</v>
      </c>
      <c r="V30">
        <v>15.9</v>
      </c>
      <c r="W30">
        <v>15.2</v>
      </c>
    </row>
    <row r="31" spans="1:24" x14ac:dyDescent="0.25">
      <c r="A31">
        <v>15</v>
      </c>
      <c r="B31">
        <v>14.4</v>
      </c>
      <c r="C31">
        <v>15.4</v>
      </c>
      <c r="D31">
        <v>15.4</v>
      </c>
      <c r="E31">
        <v>13.7</v>
      </c>
      <c r="F31">
        <v>14.8</v>
      </c>
      <c r="G31">
        <v>14.9</v>
      </c>
      <c r="H31">
        <v>15</v>
      </c>
      <c r="I31">
        <v>14.6</v>
      </c>
      <c r="J31">
        <v>14.3</v>
      </c>
      <c r="K31">
        <v>15.3</v>
      </c>
      <c r="L31">
        <v>12.5</v>
      </c>
      <c r="M31">
        <v>15.7</v>
      </c>
      <c r="N31">
        <v>16.52</v>
      </c>
      <c r="O31">
        <v>14.15</v>
      </c>
      <c r="P31">
        <v>14.4</v>
      </c>
      <c r="Q31">
        <v>14</v>
      </c>
      <c r="R31">
        <v>15.2</v>
      </c>
      <c r="S31">
        <v>14.3</v>
      </c>
      <c r="T31">
        <v>14.6</v>
      </c>
      <c r="U31">
        <v>15.2</v>
      </c>
      <c r="V31">
        <v>15.6</v>
      </c>
      <c r="W31">
        <v>15.5</v>
      </c>
    </row>
    <row r="32" spans="1:24" x14ac:dyDescent="0.25">
      <c r="A32">
        <v>14.9</v>
      </c>
      <c r="B32">
        <v>14.02</v>
      </c>
      <c r="C32">
        <v>13.6</v>
      </c>
      <c r="D32">
        <v>15.1</v>
      </c>
      <c r="E32">
        <v>15.9</v>
      </c>
      <c r="F32">
        <v>14.7</v>
      </c>
      <c r="G32">
        <v>15.8</v>
      </c>
      <c r="H32">
        <v>16.3</v>
      </c>
      <c r="I32">
        <v>14.6</v>
      </c>
      <c r="J32">
        <v>15</v>
      </c>
      <c r="K32">
        <v>14.8</v>
      </c>
      <c r="L32">
        <v>13.9</v>
      </c>
      <c r="M32">
        <v>15.4</v>
      </c>
      <c r="N32">
        <v>17.05</v>
      </c>
      <c r="O32">
        <v>15</v>
      </c>
      <c r="P32">
        <v>14.4</v>
      </c>
      <c r="Q32">
        <v>14.4</v>
      </c>
      <c r="R32">
        <v>15.2</v>
      </c>
      <c r="S32">
        <v>14.6</v>
      </c>
      <c r="T32">
        <v>14.1</v>
      </c>
      <c r="U32">
        <v>14.4</v>
      </c>
      <c r="V32">
        <v>14.9</v>
      </c>
      <c r="W32">
        <v>15.4</v>
      </c>
    </row>
    <row r="33" spans="1:23" x14ac:dyDescent="0.25">
      <c r="A33">
        <v>14.8</v>
      </c>
      <c r="B33">
        <v>14.7</v>
      </c>
      <c r="C33">
        <v>13.1</v>
      </c>
      <c r="D33">
        <v>15.5</v>
      </c>
      <c r="E33">
        <v>13.5</v>
      </c>
      <c r="F33">
        <v>14.9</v>
      </c>
      <c r="G33">
        <v>15.1</v>
      </c>
      <c r="H33">
        <v>13.9</v>
      </c>
      <c r="I33">
        <v>14.6</v>
      </c>
      <c r="J33">
        <v>16.5</v>
      </c>
      <c r="K33">
        <v>14.4</v>
      </c>
      <c r="L33">
        <v>14</v>
      </c>
      <c r="M33">
        <v>16</v>
      </c>
      <c r="N33">
        <v>16.399999999999999</v>
      </c>
      <c r="O33">
        <v>14.4</v>
      </c>
      <c r="P33">
        <v>14.3</v>
      </c>
      <c r="Q33">
        <v>13.8</v>
      </c>
      <c r="R33">
        <v>16</v>
      </c>
      <c r="S33">
        <v>14.9</v>
      </c>
      <c r="T33">
        <v>15</v>
      </c>
      <c r="U33">
        <v>14</v>
      </c>
      <c r="V33">
        <v>15</v>
      </c>
      <c r="W33">
        <v>15</v>
      </c>
    </row>
    <row r="34" spans="1:23" x14ac:dyDescent="0.25">
      <c r="A34">
        <v>14.9</v>
      </c>
      <c r="B34">
        <v>16</v>
      </c>
      <c r="C34">
        <v>15.25</v>
      </c>
      <c r="D34">
        <v>15.7</v>
      </c>
      <c r="E34">
        <v>13.2</v>
      </c>
      <c r="F34">
        <v>14.4</v>
      </c>
      <c r="G34">
        <v>14.7</v>
      </c>
      <c r="H34">
        <v>14.7</v>
      </c>
      <c r="I34">
        <v>14.7</v>
      </c>
      <c r="J34">
        <v>14.7</v>
      </c>
      <c r="K34">
        <v>14.2</v>
      </c>
      <c r="L34">
        <v>16.100000000000001</v>
      </c>
      <c r="M34">
        <v>15.5</v>
      </c>
      <c r="N34">
        <v>15.2</v>
      </c>
      <c r="O34">
        <v>15.7</v>
      </c>
      <c r="P34">
        <v>14.9</v>
      </c>
      <c r="Q34">
        <v>15</v>
      </c>
      <c r="R34">
        <v>16.100000000000001</v>
      </c>
      <c r="S34">
        <v>14.2</v>
      </c>
      <c r="T34">
        <v>14.8</v>
      </c>
      <c r="U34">
        <v>14.8</v>
      </c>
      <c r="V34">
        <v>14.4</v>
      </c>
      <c r="W34">
        <v>15.6</v>
      </c>
    </row>
    <row r="35" spans="1:23" x14ac:dyDescent="0.25">
      <c r="A35">
        <v>14.9</v>
      </c>
      <c r="B35">
        <v>15.3</v>
      </c>
      <c r="C35">
        <v>16</v>
      </c>
      <c r="D35">
        <v>15.6</v>
      </c>
      <c r="E35">
        <v>13.1</v>
      </c>
      <c r="F35">
        <v>15.4</v>
      </c>
      <c r="G35">
        <v>15.3</v>
      </c>
      <c r="H35">
        <v>15.4</v>
      </c>
      <c r="I35">
        <v>14.6</v>
      </c>
      <c r="J35">
        <v>15.3</v>
      </c>
      <c r="K35">
        <v>14.5</v>
      </c>
      <c r="L35">
        <v>15.34</v>
      </c>
      <c r="M35">
        <v>15.2</v>
      </c>
      <c r="N35">
        <v>15.4</v>
      </c>
      <c r="O35">
        <v>15.6</v>
      </c>
      <c r="P35">
        <v>15</v>
      </c>
      <c r="Q35">
        <v>14.4</v>
      </c>
      <c r="R35">
        <v>15.9</v>
      </c>
      <c r="S35">
        <v>13.5</v>
      </c>
      <c r="T35">
        <v>14.6</v>
      </c>
      <c r="U35">
        <v>15.9</v>
      </c>
      <c r="V35">
        <v>14.7</v>
      </c>
      <c r="W35">
        <v>15.5</v>
      </c>
    </row>
    <row r="36" spans="1:23" x14ac:dyDescent="0.25">
      <c r="A36">
        <v>14.9</v>
      </c>
      <c r="B36">
        <v>14.8</v>
      </c>
      <c r="C36">
        <v>15.35</v>
      </c>
      <c r="D36">
        <v>15.7</v>
      </c>
      <c r="E36">
        <v>13.5</v>
      </c>
      <c r="F36">
        <v>15.3</v>
      </c>
      <c r="G36">
        <v>14.7</v>
      </c>
      <c r="H36">
        <v>16</v>
      </c>
      <c r="I36">
        <v>14.6</v>
      </c>
      <c r="J36">
        <v>14.9</v>
      </c>
      <c r="K36">
        <v>14.9</v>
      </c>
      <c r="L36">
        <v>14</v>
      </c>
      <c r="M36">
        <v>15.73</v>
      </c>
      <c r="N36">
        <v>16.5</v>
      </c>
      <c r="O36">
        <v>15.6</v>
      </c>
      <c r="P36">
        <v>15</v>
      </c>
      <c r="Q36">
        <v>15.2</v>
      </c>
      <c r="R36">
        <v>15.9</v>
      </c>
      <c r="S36">
        <v>13.8</v>
      </c>
      <c r="T36">
        <v>14.4</v>
      </c>
      <c r="U36">
        <v>15.7</v>
      </c>
      <c r="V36">
        <v>14.9</v>
      </c>
      <c r="W36">
        <v>15.4</v>
      </c>
    </row>
    <row r="37" spans="1:23" x14ac:dyDescent="0.25">
      <c r="A37">
        <v>14.8</v>
      </c>
      <c r="B37">
        <v>15.2</v>
      </c>
      <c r="C37">
        <v>15.75</v>
      </c>
      <c r="D37">
        <v>14.7</v>
      </c>
      <c r="E37">
        <v>14.4</v>
      </c>
      <c r="F37">
        <v>15.9</v>
      </c>
      <c r="G37">
        <v>15.9</v>
      </c>
      <c r="H37">
        <v>15.3</v>
      </c>
      <c r="I37">
        <v>14.9</v>
      </c>
      <c r="J37">
        <v>15.2</v>
      </c>
      <c r="K37">
        <v>14.8</v>
      </c>
      <c r="L37">
        <v>15.5</v>
      </c>
      <c r="M37">
        <v>16.2</v>
      </c>
      <c r="N37">
        <v>16.399999999999999</v>
      </c>
      <c r="O37">
        <v>15.7</v>
      </c>
      <c r="P37">
        <v>15.4</v>
      </c>
      <c r="Q37">
        <v>15.3</v>
      </c>
      <c r="R37">
        <v>15.4</v>
      </c>
      <c r="S37">
        <v>14.3</v>
      </c>
      <c r="T37">
        <v>13.8</v>
      </c>
      <c r="U37">
        <v>15.5</v>
      </c>
      <c r="V37">
        <v>14.7</v>
      </c>
      <c r="W37">
        <v>15.3</v>
      </c>
    </row>
    <row r="38" spans="1:23" x14ac:dyDescent="0.25">
      <c r="A38">
        <v>15</v>
      </c>
      <c r="B38">
        <v>15.2</v>
      </c>
      <c r="C38">
        <v>15.9</v>
      </c>
      <c r="D38">
        <v>15.8</v>
      </c>
      <c r="E38">
        <v>16.600000000000001</v>
      </c>
      <c r="F38">
        <v>16.100000000000001</v>
      </c>
      <c r="G38">
        <v>15.8</v>
      </c>
      <c r="H38">
        <v>15.95</v>
      </c>
      <c r="I38">
        <v>14.1</v>
      </c>
      <c r="J38">
        <v>15.6</v>
      </c>
      <c r="K38">
        <v>14.7</v>
      </c>
      <c r="L38">
        <v>14</v>
      </c>
      <c r="M38">
        <v>16.2</v>
      </c>
      <c r="N38">
        <v>15.2</v>
      </c>
      <c r="O38">
        <v>15.6</v>
      </c>
      <c r="P38">
        <v>14.6</v>
      </c>
      <c r="Q38">
        <v>15.7</v>
      </c>
      <c r="R38">
        <v>13.5</v>
      </c>
      <c r="S38">
        <v>13.8</v>
      </c>
      <c r="T38">
        <v>14.9</v>
      </c>
      <c r="U38">
        <v>15.5</v>
      </c>
      <c r="V38">
        <v>15.4</v>
      </c>
      <c r="W38">
        <v>15.6</v>
      </c>
    </row>
    <row r="39" spans="1:23" x14ac:dyDescent="0.25">
      <c r="A39">
        <v>14.8</v>
      </c>
      <c r="B39">
        <v>15.7</v>
      </c>
      <c r="C39">
        <v>15.2</v>
      </c>
      <c r="D39">
        <v>15.6</v>
      </c>
      <c r="E39">
        <v>14.1</v>
      </c>
      <c r="F39">
        <v>14.7</v>
      </c>
      <c r="G39">
        <v>16.600000000000001</v>
      </c>
      <c r="H39">
        <v>15.95</v>
      </c>
      <c r="I39">
        <v>15.3</v>
      </c>
      <c r="J39">
        <v>14.3</v>
      </c>
      <c r="K39">
        <v>15.4</v>
      </c>
      <c r="L39">
        <v>15</v>
      </c>
      <c r="M39">
        <v>16.100000000000001</v>
      </c>
      <c r="N39">
        <v>14.7</v>
      </c>
      <c r="O39">
        <v>16.899999999999999</v>
      </c>
      <c r="P39">
        <v>14.3</v>
      </c>
      <c r="Q39">
        <v>15.4</v>
      </c>
      <c r="R39">
        <v>13.6</v>
      </c>
      <c r="S39">
        <v>14.1</v>
      </c>
      <c r="T39">
        <v>14.3</v>
      </c>
      <c r="U39">
        <v>15.2</v>
      </c>
      <c r="V39">
        <v>15.3</v>
      </c>
      <c r="W39">
        <v>15.4</v>
      </c>
    </row>
    <row r="40" spans="1:23" x14ac:dyDescent="0.25">
      <c r="A40">
        <v>15.3</v>
      </c>
      <c r="B40">
        <v>15.4</v>
      </c>
      <c r="C40">
        <v>14.95</v>
      </c>
      <c r="D40">
        <v>15.7</v>
      </c>
      <c r="E40">
        <v>13.3</v>
      </c>
      <c r="F40">
        <v>16.600000000000001</v>
      </c>
      <c r="G40">
        <v>16.3</v>
      </c>
      <c r="H40">
        <v>16</v>
      </c>
      <c r="I40">
        <v>15</v>
      </c>
      <c r="J40">
        <v>15.6</v>
      </c>
      <c r="K40">
        <v>14.8</v>
      </c>
      <c r="L40">
        <v>16.3</v>
      </c>
      <c r="M40">
        <v>16.100000000000001</v>
      </c>
      <c r="N40">
        <v>14.2</v>
      </c>
      <c r="O40">
        <v>15.8</v>
      </c>
      <c r="P40">
        <v>17.7</v>
      </c>
      <c r="Q40">
        <v>14.9</v>
      </c>
      <c r="R40">
        <v>15.8</v>
      </c>
      <c r="S40">
        <v>14.6</v>
      </c>
      <c r="T40">
        <v>14</v>
      </c>
      <c r="U40">
        <v>15.5</v>
      </c>
      <c r="V40">
        <v>15.5</v>
      </c>
      <c r="W40">
        <v>15.2</v>
      </c>
    </row>
    <row r="41" spans="1:23" x14ac:dyDescent="0.25">
      <c r="A41">
        <v>14.6</v>
      </c>
      <c r="B41">
        <v>15.2</v>
      </c>
      <c r="C41">
        <v>14.7</v>
      </c>
      <c r="D41">
        <v>17.5</v>
      </c>
      <c r="E41">
        <v>12.8</v>
      </c>
      <c r="F41">
        <v>15.2</v>
      </c>
      <c r="G41">
        <v>15.6</v>
      </c>
      <c r="H41">
        <v>14.85</v>
      </c>
      <c r="I41">
        <v>15.8</v>
      </c>
      <c r="J41">
        <v>16.2</v>
      </c>
      <c r="K41">
        <v>14.6</v>
      </c>
      <c r="L41">
        <v>15.3</v>
      </c>
      <c r="M41">
        <v>15.8</v>
      </c>
      <c r="N41">
        <v>14.2</v>
      </c>
      <c r="O41">
        <v>15.4</v>
      </c>
      <c r="P41">
        <v>17</v>
      </c>
      <c r="Q41">
        <v>13.9</v>
      </c>
      <c r="R41">
        <v>16.399999999999999</v>
      </c>
      <c r="S41">
        <v>14.8</v>
      </c>
      <c r="T41">
        <v>15.2</v>
      </c>
      <c r="U41">
        <v>15.2</v>
      </c>
      <c r="V41">
        <v>15.2</v>
      </c>
      <c r="W41">
        <v>15.2</v>
      </c>
    </row>
    <row r="42" spans="1:23" x14ac:dyDescent="0.25">
      <c r="A42">
        <v>13.3</v>
      </c>
      <c r="B42">
        <v>15.6</v>
      </c>
      <c r="C42">
        <v>15.7</v>
      </c>
      <c r="D42">
        <v>15.7</v>
      </c>
      <c r="E42">
        <v>14</v>
      </c>
      <c r="F42">
        <v>15.1</v>
      </c>
      <c r="G42">
        <v>16</v>
      </c>
      <c r="H42">
        <v>15.75</v>
      </c>
      <c r="I42">
        <v>14.9</v>
      </c>
      <c r="J42">
        <v>15.4</v>
      </c>
      <c r="K42">
        <v>14.6</v>
      </c>
      <c r="L42">
        <v>15.4</v>
      </c>
      <c r="M42">
        <v>15.7</v>
      </c>
      <c r="N42">
        <v>13.9</v>
      </c>
      <c r="O42">
        <v>15.6</v>
      </c>
      <c r="P42">
        <v>15.3</v>
      </c>
      <c r="Q42">
        <v>13.2</v>
      </c>
      <c r="R42">
        <v>18</v>
      </c>
      <c r="S42">
        <v>15</v>
      </c>
      <c r="T42">
        <v>13.7</v>
      </c>
      <c r="U42">
        <v>15.5</v>
      </c>
      <c r="V42">
        <v>15.2</v>
      </c>
      <c r="W42">
        <v>15.5</v>
      </c>
    </row>
    <row r="43" spans="1:23" x14ac:dyDescent="0.25">
      <c r="A43">
        <v>15.9</v>
      </c>
      <c r="B43">
        <v>16.600000000000001</v>
      </c>
      <c r="C43">
        <v>15.35</v>
      </c>
      <c r="D43">
        <v>17.399999999999999</v>
      </c>
      <c r="E43">
        <v>14.1</v>
      </c>
      <c r="F43">
        <v>15.9</v>
      </c>
      <c r="G43">
        <v>17.100000000000001</v>
      </c>
      <c r="H43">
        <v>15.8</v>
      </c>
      <c r="I43">
        <v>14.9</v>
      </c>
      <c r="J43">
        <v>14.9</v>
      </c>
      <c r="K43">
        <v>14.9</v>
      </c>
      <c r="L43">
        <v>14.7</v>
      </c>
      <c r="M43">
        <v>14.6</v>
      </c>
      <c r="N43">
        <v>14.2</v>
      </c>
      <c r="O43">
        <v>16.2</v>
      </c>
      <c r="P43">
        <v>14.7</v>
      </c>
      <c r="Q43">
        <v>13.6</v>
      </c>
      <c r="R43">
        <v>15</v>
      </c>
      <c r="S43">
        <v>15</v>
      </c>
      <c r="T43">
        <v>14.2</v>
      </c>
      <c r="U43">
        <v>15.3</v>
      </c>
      <c r="V43">
        <v>16.100000000000001</v>
      </c>
      <c r="W43">
        <v>16.100000000000001</v>
      </c>
    </row>
    <row r="44" spans="1:23" x14ac:dyDescent="0.25">
      <c r="A44">
        <v>15.4</v>
      </c>
      <c r="B44">
        <v>15.4</v>
      </c>
      <c r="C44">
        <v>15.35</v>
      </c>
      <c r="D44">
        <v>15.4</v>
      </c>
      <c r="E44">
        <v>15.7</v>
      </c>
      <c r="F44">
        <v>15.6</v>
      </c>
      <c r="G44">
        <v>16.399999999999999</v>
      </c>
      <c r="H44">
        <v>16.5</v>
      </c>
      <c r="I44">
        <v>13.9</v>
      </c>
      <c r="J44">
        <v>16.8</v>
      </c>
      <c r="K44">
        <v>15.4</v>
      </c>
      <c r="L44">
        <v>17.899999999999999</v>
      </c>
      <c r="M44">
        <v>15.9</v>
      </c>
      <c r="N44">
        <v>16</v>
      </c>
      <c r="O44">
        <v>16</v>
      </c>
      <c r="P44">
        <v>15</v>
      </c>
      <c r="Q44">
        <v>13.7</v>
      </c>
      <c r="R44">
        <v>14.7</v>
      </c>
      <c r="S44">
        <v>15</v>
      </c>
      <c r="T44">
        <v>14.3</v>
      </c>
      <c r="U44">
        <v>14.2</v>
      </c>
      <c r="V44">
        <v>15.7</v>
      </c>
      <c r="W44">
        <v>14.4</v>
      </c>
    </row>
    <row r="45" spans="1:23" x14ac:dyDescent="0.25">
      <c r="A45">
        <v>14.8</v>
      </c>
      <c r="B45">
        <v>15.4</v>
      </c>
      <c r="C45">
        <v>15.5</v>
      </c>
      <c r="D45">
        <v>13.5</v>
      </c>
      <c r="E45">
        <v>15.7</v>
      </c>
      <c r="F45">
        <v>15.7</v>
      </c>
      <c r="G45">
        <v>15.9</v>
      </c>
      <c r="H45">
        <v>15.5</v>
      </c>
      <c r="I45">
        <v>14</v>
      </c>
      <c r="J45">
        <v>15.3</v>
      </c>
      <c r="K45">
        <v>15.2</v>
      </c>
      <c r="L45">
        <v>14.4</v>
      </c>
      <c r="M45">
        <v>16.64</v>
      </c>
      <c r="N45">
        <v>15.2</v>
      </c>
      <c r="O45">
        <v>15.9</v>
      </c>
      <c r="P45">
        <v>15.8</v>
      </c>
      <c r="Q45">
        <v>14.6</v>
      </c>
      <c r="R45">
        <v>14.7</v>
      </c>
      <c r="S45">
        <v>14.3</v>
      </c>
      <c r="T45">
        <v>14.4</v>
      </c>
      <c r="U45">
        <v>15.5</v>
      </c>
      <c r="V45">
        <v>14.7</v>
      </c>
      <c r="W45">
        <v>15.9</v>
      </c>
    </row>
    <row r="46" spans="1:23" x14ac:dyDescent="0.25">
      <c r="A46">
        <v>14.9</v>
      </c>
      <c r="B46">
        <v>14.3</v>
      </c>
      <c r="C46">
        <v>13.7</v>
      </c>
      <c r="D46">
        <v>15.45</v>
      </c>
      <c r="E46">
        <v>14.4</v>
      </c>
      <c r="F46">
        <v>14.6</v>
      </c>
      <c r="G46">
        <v>15.3</v>
      </c>
      <c r="H46">
        <v>15.8</v>
      </c>
      <c r="I46">
        <v>14.7</v>
      </c>
      <c r="J46">
        <v>15.4</v>
      </c>
      <c r="K46">
        <v>15.5</v>
      </c>
      <c r="L46">
        <v>13.8</v>
      </c>
      <c r="M46">
        <v>15.5</v>
      </c>
      <c r="N46">
        <v>16.5</v>
      </c>
      <c r="O46">
        <v>15</v>
      </c>
      <c r="P46">
        <v>14.4</v>
      </c>
      <c r="Q46">
        <v>14</v>
      </c>
      <c r="R46">
        <v>15</v>
      </c>
      <c r="S46">
        <v>14.7</v>
      </c>
      <c r="T46">
        <v>14</v>
      </c>
      <c r="U46">
        <v>15.6</v>
      </c>
      <c r="V46">
        <v>15.3</v>
      </c>
      <c r="W46">
        <v>15.4</v>
      </c>
    </row>
    <row r="47" spans="1:23" x14ac:dyDescent="0.25">
      <c r="A47">
        <v>15.5</v>
      </c>
      <c r="B47">
        <v>14.2</v>
      </c>
      <c r="C47">
        <v>15.4</v>
      </c>
      <c r="D47">
        <v>15.1</v>
      </c>
      <c r="E47">
        <v>12.3</v>
      </c>
      <c r="F47">
        <v>14.3</v>
      </c>
      <c r="G47">
        <v>15.4</v>
      </c>
      <c r="H47">
        <v>14.8</v>
      </c>
      <c r="I47">
        <v>14.7</v>
      </c>
      <c r="J47">
        <v>14.8</v>
      </c>
      <c r="K47">
        <v>14</v>
      </c>
      <c r="L47">
        <v>15.5</v>
      </c>
      <c r="M47">
        <v>18.399999999999999</v>
      </c>
      <c r="N47">
        <v>16.5</v>
      </c>
      <c r="O47">
        <v>15</v>
      </c>
      <c r="P47">
        <v>15.6</v>
      </c>
      <c r="Q47">
        <v>14.6</v>
      </c>
      <c r="R47">
        <v>14.5</v>
      </c>
      <c r="S47">
        <v>15.6</v>
      </c>
      <c r="T47">
        <v>14.6</v>
      </c>
      <c r="U47">
        <v>14.8</v>
      </c>
      <c r="V47">
        <v>14.3</v>
      </c>
      <c r="W47">
        <v>15.5</v>
      </c>
    </row>
    <row r="48" spans="1:23" x14ac:dyDescent="0.25">
      <c r="A48">
        <v>14.8</v>
      </c>
      <c r="B48">
        <v>14.6</v>
      </c>
      <c r="C48">
        <v>15.6</v>
      </c>
      <c r="D48">
        <v>15.2</v>
      </c>
      <c r="E48">
        <v>14.5</v>
      </c>
      <c r="F48">
        <v>15.5</v>
      </c>
      <c r="G48">
        <v>15.3</v>
      </c>
      <c r="H48">
        <v>14.7</v>
      </c>
      <c r="I48">
        <v>14.6</v>
      </c>
      <c r="J48">
        <v>13.45</v>
      </c>
      <c r="K48">
        <v>14.5</v>
      </c>
      <c r="L48">
        <v>12.2</v>
      </c>
      <c r="M48">
        <v>15.4</v>
      </c>
      <c r="N48">
        <v>16.45</v>
      </c>
      <c r="O48">
        <v>16</v>
      </c>
      <c r="P48">
        <v>14.5</v>
      </c>
      <c r="Q48">
        <v>15.1</v>
      </c>
      <c r="R48">
        <v>15.1</v>
      </c>
      <c r="S48">
        <v>14.2</v>
      </c>
      <c r="T48">
        <v>14.3</v>
      </c>
      <c r="U48">
        <v>14.8</v>
      </c>
      <c r="V48">
        <v>15.7</v>
      </c>
      <c r="W48">
        <v>15.9</v>
      </c>
    </row>
    <row r="49" spans="1:23" x14ac:dyDescent="0.25">
      <c r="A49">
        <v>16.8</v>
      </c>
      <c r="B49">
        <v>14.8</v>
      </c>
      <c r="C49">
        <v>15.3</v>
      </c>
      <c r="D49">
        <v>15.55</v>
      </c>
      <c r="E49">
        <v>14</v>
      </c>
      <c r="F49">
        <v>14.6</v>
      </c>
      <c r="G49">
        <v>16</v>
      </c>
      <c r="H49">
        <v>15.1</v>
      </c>
      <c r="I49">
        <v>14.7</v>
      </c>
      <c r="J49">
        <v>14.8</v>
      </c>
      <c r="K49">
        <v>15</v>
      </c>
      <c r="L49">
        <v>15.5</v>
      </c>
      <c r="M49">
        <v>15.6</v>
      </c>
      <c r="N49">
        <v>15.7</v>
      </c>
      <c r="O49">
        <v>17.2</v>
      </c>
      <c r="P49">
        <v>14.6</v>
      </c>
      <c r="Q49">
        <v>15</v>
      </c>
      <c r="R49">
        <v>15.2</v>
      </c>
      <c r="S49">
        <v>14.4</v>
      </c>
      <c r="T49">
        <v>14.7</v>
      </c>
      <c r="U49">
        <v>14</v>
      </c>
      <c r="V49">
        <v>14.7</v>
      </c>
      <c r="W49">
        <v>14.1</v>
      </c>
    </row>
    <row r="50" spans="1:23" x14ac:dyDescent="0.25">
      <c r="A50">
        <v>15.9</v>
      </c>
      <c r="B50">
        <v>17.5</v>
      </c>
      <c r="C50">
        <v>15.65</v>
      </c>
      <c r="D50">
        <v>15.4</v>
      </c>
      <c r="E50">
        <v>14.2</v>
      </c>
      <c r="F50">
        <v>14.8</v>
      </c>
      <c r="G50">
        <v>14.8</v>
      </c>
      <c r="H50">
        <v>15.8</v>
      </c>
      <c r="I50">
        <v>14.6</v>
      </c>
      <c r="J50">
        <v>16.600000000000001</v>
      </c>
      <c r="K50">
        <v>15</v>
      </c>
      <c r="L50">
        <v>14.5</v>
      </c>
      <c r="M50">
        <v>15.2</v>
      </c>
      <c r="N50">
        <v>15.8</v>
      </c>
      <c r="O50">
        <v>15.4</v>
      </c>
      <c r="P50">
        <v>14.3</v>
      </c>
      <c r="Q50">
        <v>15.1</v>
      </c>
      <c r="R50">
        <v>15.7</v>
      </c>
      <c r="S50">
        <v>15.2</v>
      </c>
      <c r="T50">
        <v>14.5</v>
      </c>
      <c r="U50">
        <v>15</v>
      </c>
      <c r="V50">
        <v>15.2</v>
      </c>
      <c r="W50">
        <v>14.9</v>
      </c>
    </row>
    <row r="51" spans="1:23" x14ac:dyDescent="0.25">
      <c r="A51">
        <v>16.8</v>
      </c>
      <c r="B51">
        <v>15.2</v>
      </c>
      <c r="C51">
        <v>15.95</v>
      </c>
      <c r="D51">
        <v>15.5</v>
      </c>
      <c r="E51">
        <v>13.4</v>
      </c>
      <c r="F51">
        <v>15.7</v>
      </c>
      <c r="G51">
        <v>16.5</v>
      </c>
      <c r="H51">
        <v>15.2</v>
      </c>
      <c r="I51">
        <v>14.7</v>
      </c>
      <c r="J51">
        <v>14.9</v>
      </c>
      <c r="K51">
        <v>14.8</v>
      </c>
      <c r="L51">
        <v>15.1</v>
      </c>
      <c r="M51">
        <v>15.8</v>
      </c>
      <c r="N51">
        <v>15.5</v>
      </c>
      <c r="O51">
        <v>15.6</v>
      </c>
      <c r="P51">
        <v>14.2</v>
      </c>
      <c r="Q51">
        <v>14.9</v>
      </c>
      <c r="R51">
        <v>15.9</v>
      </c>
      <c r="S51">
        <v>13.5</v>
      </c>
      <c r="T51">
        <v>14.8</v>
      </c>
      <c r="U51">
        <v>15.3</v>
      </c>
      <c r="V51">
        <v>14.8</v>
      </c>
      <c r="W51">
        <v>15.3</v>
      </c>
    </row>
    <row r="52" spans="1:23" x14ac:dyDescent="0.25">
      <c r="A52">
        <v>15.4</v>
      </c>
      <c r="B52">
        <v>15.2</v>
      </c>
      <c r="C52">
        <v>15.85</v>
      </c>
      <c r="D52">
        <v>14.8</v>
      </c>
      <c r="E52">
        <v>14.4</v>
      </c>
      <c r="F52">
        <v>19.5</v>
      </c>
      <c r="G52">
        <v>16.899999999999999</v>
      </c>
      <c r="H52">
        <v>15.2</v>
      </c>
      <c r="I52">
        <v>14.1</v>
      </c>
      <c r="J52">
        <v>14.9</v>
      </c>
      <c r="K52">
        <v>14.8</v>
      </c>
      <c r="L52">
        <v>15.5</v>
      </c>
      <c r="M52">
        <v>15.3</v>
      </c>
      <c r="N52">
        <v>16</v>
      </c>
      <c r="O52">
        <v>15.6</v>
      </c>
      <c r="P52">
        <v>15.4</v>
      </c>
      <c r="Q52">
        <v>15.4</v>
      </c>
      <c r="R52">
        <v>15.8</v>
      </c>
      <c r="S52">
        <v>14</v>
      </c>
      <c r="T52">
        <v>14.1</v>
      </c>
      <c r="U52">
        <v>15.6</v>
      </c>
      <c r="V52">
        <v>14.9</v>
      </c>
      <c r="W52">
        <v>15.4</v>
      </c>
    </row>
    <row r="53" spans="1:23" x14ac:dyDescent="0.25">
      <c r="A53">
        <v>16</v>
      </c>
      <c r="B53">
        <v>16.2</v>
      </c>
      <c r="C53">
        <v>16</v>
      </c>
      <c r="D53">
        <v>15.9</v>
      </c>
      <c r="E53">
        <v>14.2</v>
      </c>
      <c r="F53">
        <v>15.4</v>
      </c>
      <c r="G53">
        <v>14.5</v>
      </c>
      <c r="H53">
        <v>17</v>
      </c>
      <c r="I53">
        <v>14.5</v>
      </c>
      <c r="J53">
        <v>14.5</v>
      </c>
      <c r="K53">
        <v>14.6</v>
      </c>
      <c r="L53">
        <v>14.4</v>
      </c>
      <c r="M53">
        <v>15.4</v>
      </c>
      <c r="N53">
        <v>15.2</v>
      </c>
      <c r="O53">
        <v>15.5</v>
      </c>
      <c r="P53">
        <v>15.3</v>
      </c>
      <c r="Q53">
        <v>15.4</v>
      </c>
      <c r="R53">
        <v>14.1</v>
      </c>
      <c r="S53">
        <v>13.9</v>
      </c>
      <c r="T53">
        <v>14.5</v>
      </c>
      <c r="U53">
        <v>15.3</v>
      </c>
      <c r="V53">
        <v>14.8</v>
      </c>
      <c r="W53">
        <v>16.7</v>
      </c>
    </row>
    <row r="54" spans="1:23" x14ac:dyDescent="0.25">
      <c r="A54">
        <v>15.8</v>
      </c>
      <c r="B54">
        <v>15.5</v>
      </c>
      <c r="C54">
        <v>14.65</v>
      </c>
      <c r="D54">
        <v>15.7</v>
      </c>
      <c r="E54">
        <v>14.2</v>
      </c>
      <c r="F54">
        <v>16.600000000000001</v>
      </c>
      <c r="G54">
        <v>15.4</v>
      </c>
      <c r="H54">
        <v>15.55</v>
      </c>
      <c r="I54">
        <v>15</v>
      </c>
      <c r="J54">
        <v>14</v>
      </c>
      <c r="K54">
        <v>14.7</v>
      </c>
      <c r="L54">
        <v>14.8</v>
      </c>
      <c r="M54">
        <v>15.4</v>
      </c>
      <c r="N54">
        <v>16.7</v>
      </c>
      <c r="O54">
        <v>15.4</v>
      </c>
      <c r="P54">
        <v>16.8</v>
      </c>
      <c r="Q54">
        <v>15.4</v>
      </c>
      <c r="R54">
        <v>14.4</v>
      </c>
      <c r="S54">
        <v>14.8</v>
      </c>
      <c r="T54">
        <v>13.8</v>
      </c>
      <c r="U54">
        <v>14.8</v>
      </c>
      <c r="V54">
        <v>14.9</v>
      </c>
      <c r="W54">
        <v>15.6</v>
      </c>
    </row>
    <row r="55" spans="1:23" x14ac:dyDescent="0.25">
      <c r="A55">
        <v>16.2</v>
      </c>
      <c r="B55">
        <v>16.8</v>
      </c>
      <c r="C55">
        <v>15.4</v>
      </c>
      <c r="D55">
        <v>16</v>
      </c>
      <c r="E55">
        <v>13.1</v>
      </c>
      <c r="F55">
        <v>16.600000000000001</v>
      </c>
      <c r="G55">
        <v>16.5</v>
      </c>
      <c r="H55">
        <v>15.95</v>
      </c>
      <c r="I55">
        <v>14.9</v>
      </c>
      <c r="J55">
        <v>16</v>
      </c>
      <c r="K55">
        <v>14</v>
      </c>
      <c r="L55">
        <v>16.5</v>
      </c>
      <c r="M55">
        <v>16</v>
      </c>
      <c r="N55">
        <v>15.6</v>
      </c>
      <c r="O55">
        <v>16.899999999999999</v>
      </c>
      <c r="P55">
        <v>15.2</v>
      </c>
      <c r="Q55">
        <v>14.2</v>
      </c>
      <c r="R55">
        <v>15.7</v>
      </c>
      <c r="S55">
        <v>14.2</v>
      </c>
      <c r="T55">
        <v>14.1</v>
      </c>
      <c r="U55">
        <v>15.2</v>
      </c>
      <c r="V55">
        <v>15.5</v>
      </c>
      <c r="W55">
        <v>15</v>
      </c>
    </row>
    <row r="56" spans="1:23" x14ac:dyDescent="0.25">
      <c r="A56">
        <v>15.5</v>
      </c>
      <c r="B56">
        <v>15.3</v>
      </c>
      <c r="C56">
        <v>15.1</v>
      </c>
      <c r="D56">
        <v>16.3</v>
      </c>
      <c r="E56">
        <v>14.3</v>
      </c>
      <c r="F56">
        <v>15.3</v>
      </c>
      <c r="G56">
        <v>16.3</v>
      </c>
      <c r="H56">
        <v>15.6</v>
      </c>
      <c r="I56">
        <v>14.1</v>
      </c>
      <c r="J56">
        <v>16</v>
      </c>
      <c r="K56">
        <v>14.7</v>
      </c>
      <c r="L56">
        <v>16.8</v>
      </c>
      <c r="M56">
        <v>14.6</v>
      </c>
      <c r="N56">
        <v>14.2</v>
      </c>
      <c r="O56">
        <v>14.6</v>
      </c>
      <c r="P56">
        <v>18</v>
      </c>
      <c r="Q56">
        <v>15</v>
      </c>
      <c r="R56">
        <v>17.2</v>
      </c>
      <c r="S56">
        <v>14.5</v>
      </c>
      <c r="T56">
        <v>14.7</v>
      </c>
      <c r="U56">
        <v>15.1</v>
      </c>
      <c r="V56">
        <v>15.6</v>
      </c>
      <c r="W56">
        <v>15</v>
      </c>
    </row>
    <row r="57" spans="1:23" x14ac:dyDescent="0.25">
      <c r="A57">
        <v>15.1</v>
      </c>
      <c r="B57">
        <v>15.3</v>
      </c>
      <c r="C57">
        <v>15.5</v>
      </c>
      <c r="D57">
        <v>16</v>
      </c>
      <c r="E57">
        <v>13.7</v>
      </c>
      <c r="F57">
        <v>14.7</v>
      </c>
      <c r="G57">
        <v>15.9</v>
      </c>
      <c r="H57">
        <v>16.25</v>
      </c>
      <c r="I57">
        <v>14.9</v>
      </c>
      <c r="J57">
        <v>15.6</v>
      </c>
      <c r="K57">
        <v>15.5</v>
      </c>
      <c r="L57">
        <v>16.5</v>
      </c>
      <c r="M57">
        <v>16.7</v>
      </c>
      <c r="N57">
        <v>13.8</v>
      </c>
      <c r="O57">
        <v>15.8</v>
      </c>
      <c r="P57">
        <v>14.8</v>
      </c>
      <c r="Q57">
        <v>14</v>
      </c>
      <c r="R57">
        <v>14.2</v>
      </c>
      <c r="S57">
        <v>14.5</v>
      </c>
      <c r="T57">
        <v>13.9</v>
      </c>
      <c r="U57">
        <v>15.5</v>
      </c>
      <c r="V57">
        <v>15.5</v>
      </c>
      <c r="W57">
        <v>15.3</v>
      </c>
    </row>
    <row r="58" spans="1:23" x14ac:dyDescent="0.25">
      <c r="A58">
        <v>15.1</v>
      </c>
      <c r="B58">
        <v>14.4</v>
      </c>
      <c r="C58">
        <v>15.5</v>
      </c>
      <c r="D58">
        <v>16.899999999999999</v>
      </c>
      <c r="E58">
        <v>13.7</v>
      </c>
      <c r="F58">
        <v>15.5</v>
      </c>
      <c r="G58">
        <v>16.7</v>
      </c>
      <c r="H58">
        <v>15.15</v>
      </c>
      <c r="I58">
        <v>15.4</v>
      </c>
      <c r="J58">
        <v>16</v>
      </c>
      <c r="K58">
        <v>15.2</v>
      </c>
      <c r="L58">
        <v>16.399999999999999</v>
      </c>
      <c r="M58">
        <v>16.3</v>
      </c>
      <c r="N58">
        <v>14.4</v>
      </c>
      <c r="O58">
        <v>15.82</v>
      </c>
      <c r="P58">
        <v>15.7</v>
      </c>
      <c r="Q58">
        <v>16.100000000000001</v>
      </c>
      <c r="R58">
        <v>14.8</v>
      </c>
      <c r="S58">
        <v>15</v>
      </c>
      <c r="T58">
        <v>13.9</v>
      </c>
      <c r="U58">
        <v>15.3</v>
      </c>
      <c r="V58">
        <v>15.2</v>
      </c>
      <c r="W58">
        <v>16</v>
      </c>
    </row>
    <row r="59" spans="1:23" x14ac:dyDescent="0.25">
      <c r="A59">
        <v>16</v>
      </c>
      <c r="B59">
        <v>15.6</v>
      </c>
      <c r="C59">
        <v>15.7</v>
      </c>
      <c r="D59">
        <v>15.6</v>
      </c>
      <c r="E59">
        <v>16</v>
      </c>
      <c r="F59">
        <v>15.8</v>
      </c>
      <c r="G59">
        <v>16.7</v>
      </c>
      <c r="H59">
        <v>14.95</v>
      </c>
      <c r="I59">
        <v>14.3</v>
      </c>
      <c r="J59">
        <v>13</v>
      </c>
      <c r="K59">
        <v>13.9</v>
      </c>
      <c r="L59">
        <v>16.7</v>
      </c>
      <c r="M59">
        <v>15.95</v>
      </c>
      <c r="N59">
        <v>16</v>
      </c>
      <c r="O59">
        <v>16.100000000000001</v>
      </c>
      <c r="P59">
        <v>15.3</v>
      </c>
      <c r="Q59">
        <v>15.3</v>
      </c>
      <c r="R59">
        <v>14.2</v>
      </c>
      <c r="S59">
        <v>14.4</v>
      </c>
      <c r="T59">
        <v>14.1</v>
      </c>
      <c r="U59">
        <v>14.6</v>
      </c>
      <c r="V59">
        <v>15.7</v>
      </c>
      <c r="W59">
        <v>16.2</v>
      </c>
    </row>
    <row r="60" spans="1:23" x14ac:dyDescent="0.25">
      <c r="A60">
        <v>15.5</v>
      </c>
      <c r="B60">
        <v>17</v>
      </c>
      <c r="C60">
        <v>15.4</v>
      </c>
      <c r="D60">
        <v>14.7</v>
      </c>
      <c r="E60">
        <v>17.5</v>
      </c>
      <c r="F60">
        <v>16</v>
      </c>
      <c r="G60">
        <v>16.5</v>
      </c>
      <c r="H60">
        <v>14.6</v>
      </c>
      <c r="I60">
        <v>14.4</v>
      </c>
      <c r="J60">
        <v>14.2</v>
      </c>
      <c r="K60">
        <v>15.1</v>
      </c>
      <c r="L60">
        <v>17.600000000000001</v>
      </c>
      <c r="M60">
        <v>15.7</v>
      </c>
      <c r="N60">
        <v>15.9</v>
      </c>
      <c r="O60">
        <v>14.5</v>
      </c>
      <c r="P60">
        <v>14.8</v>
      </c>
      <c r="Q60">
        <v>16</v>
      </c>
      <c r="R60">
        <v>16.100000000000001</v>
      </c>
      <c r="S60">
        <v>14.8</v>
      </c>
      <c r="T60">
        <v>14.5</v>
      </c>
      <c r="U60">
        <v>15.2</v>
      </c>
      <c r="V60">
        <v>15.2</v>
      </c>
      <c r="W60">
        <v>14.5</v>
      </c>
    </row>
    <row r="61" spans="1:23" x14ac:dyDescent="0.25">
      <c r="A61">
        <v>15.9</v>
      </c>
      <c r="B61">
        <v>15.2</v>
      </c>
      <c r="C61">
        <v>15.6</v>
      </c>
      <c r="D61">
        <v>15.2</v>
      </c>
      <c r="E61">
        <v>14.1</v>
      </c>
      <c r="F61">
        <v>14.6</v>
      </c>
      <c r="G61">
        <v>15.5</v>
      </c>
      <c r="H61">
        <v>15.5</v>
      </c>
      <c r="I61">
        <v>14.8</v>
      </c>
      <c r="J61">
        <v>14.1</v>
      </c>
      <c r="K61">
        <v>14.5</v>
      </c>
      <c r="L61">
        <v>14.4</v>
      </c>
      <c r="M61">
        <v>18.399999999999999</v>
      </c>
      <c r="N61">
        <v>16.52</v>
      </c>
      <c r="O61">
        <v>16.5</v>
      </c>
      <c r="P61">
        <v>14.5</v>
      </c>
      <c r="Q61">
        <v>14</v>
      </c>
      <c r="R61">
        <v>14.8</v>
      </c>
      <c r="S61">
        <v>14.3</v>
      </c>
      <c r="T61">
        <v>14.5</v>
      </c>
      <c r="U61">
        <v>15.4</v>
      </c>
      <c r="V61">
        <v>15.3</v>
      </c>
      <c r="W61">
        <v>15.4</v>
      </c>
    </row>
    <row r="62" spans="1:23" x14ac:dyDescent="0.25">
      <c r="A62">
        <v>15.5</v>
      </c>
      <c r="B62">
        <v>14.5</v>
      </c>
      <c r="C62">
        <v>13.7</v>
      </c>
      <c r="D62">
        <v>15.3</v>
      </c>
      <c r="E62">
        <v>14</v>
      </c>
      <c r="F62">
        <v>14.8</v>
      </c>
      <c r="G62">
        <v>15.2</v>
      </c>
      <c r="H62">
        <v>14.9</v>
      </c>
      <c r="I62">
        <v>14.4</v>
      </c>
      <c r="J62">
        <v>15.5</v>
      </c>
      <c r="K62">
        <v>14.7</v>
      </c>
      <c r="L62">
        <v>14.3</v>
      </c>
      <c r="M62">
        <v>17</v>
      </c>
      <c r="N62">
        <v>16.149999999999999</v>
      </c>
      <c r="O62">
        <v>15.3</v>
      </c>
      <c r="P62">
        <v>14.2</v>
      </c>
      <c r="Q62">
        <v>14</v>
      </c>
      <c r="R62">
        <v>15.2</v>
      </c>
      <c r="S62">
        <v>14.4</v>
      </c>
      <c r="T62">
        <v>14.8</v>
      </c>
      <c r="U62">
        <v>13.1</v>
      </c>
      <c r="V62">
        <v>14.8</v>
      </c>
      <c r="W62">
        <v>15.3</v>
      </c>
    </row>
    <row r="63" spans="1:23" x14ac:dyDescent="0.25">
      <c r="A63">
        <v>15.6</v>
      </c>
      <c r="B63">
        <v>14.7</v>
      </c>
      <c r="C63">
        <v>13.3</v>
      </c>
      <c r="D63">
        <v>15.5</v>
      </c>
      <c r="E63">
        <v>13.7</v>
      </c>
      <c r="F63">
        <v>15.6</v>
      </c>
      <c r="G63">
        <v>15.1</v>
      </c>
      <c r="H63">
        <v>13.9</v>
      </c>
      <c r="I63">
        <v>14.8</v>
      </c>
      <c r="J63">
        <v>15</v>
      </c>
      <c r="K63">
        <v>15</v>
      </c>
      <c r="L63">
        <v>15.9</v>
      </c>
      <c r="M63">
        <v>15.5</v>
      </c>
      <c r="N63">
        <v>17.399999999999999</v>
      </c>
      <c r="O63">
        <v>16.3</v>
      </c>
      <c r="P63">
        <v>14.5</v>
      </c>
      <c r="Q63">
        <v>14.8</v>
      </c>
      <c r="R63">
        <v>14.4</v>
      </c>
      <c r="S63">
        <v>14.7</v>
      </c>
      <c r="T63">
        <v>14.3</v>
      </c>
      <c r="U63">
        <v>14.1</v>
      </c>
      <c r="V63">
        <v>14.7</v>
      </c>
      <c r="W63">
        <v>16.2</v>
      </c>
    </row>
    <row r="64" spans="1:23" x14ac:dyDescent="0.25">
      <c r="A64">
        <v>16.2</v>
      </c>
      <c r="B64">
        <v>15.2</v>
      </c>
      <c r="C64">
        <v>15.3</v>
      </c>
      <c r="D64">
        <v>15.45</v>
      </c>
      <c r="E64">
        <v>13.3</v>
      </c>
      <c r="F64">
        <v>14.7</v>
      </c>
      <c r="G64">
        <v>14.5</v>
      </c>
      <c r="H64">
        <v>15.3</v>
      </c>
      <c r="I64">
        <v>14.8</v>
      </c>
      <c r="J64">
        <v>14.7</v>
      </c>
      <c r="K64">
        <v>14.9</v>
      </c>
      <c r="L64">
        <v>14.6</v>
      </c>
      <c r="M64">
        <v>15.9</v>
      </c>
      <c r="N64">
        <v>15.8</v>
      </c>
      <c r="O64">
        <v>15.4</v>
      </c>
      <c r="P64">
        <v>14.8</v>
      </c>
      <c r="Q64">
        <v>14</v>
      </c>
      <c r="R64">
        <v>16</v>
      </c>
      <c r="S64">
        <v>14.1</v>
      </c>
      <c r="T64">
        <v>15.4</v>
      </c>
      <c r="U64">
        <v>14</v>
      </c>
      <c r="V64">
        <v>15.3</v>
      </c>
      <c r="W64">
        <v>15.5</v>
      </c>
    </row>
    <row r="65" spans="1:23" x14ac:dyDescent="0.25">
      <c r="A65">
        <v>15.8</v>
      </c>
      <c r="B65">
        <v>14.9</v>
      </c>
      <c r="C65">
        <v>16</v>
      </c>
      <c r="D65">
        <v>15.4</v>
      </c>
      <c r="E65">
        <v>13.4</v>
      </c>
      <c r="F65">
        <v>16.399999999999999</v>
      </c>
      <c r="G65">
        <v>14.9</v>
      </c>
      <c r="H65">
        <v>16</v>
      </c>
      <c r="I65">
        <v>15.1</v>
      </c>
      <c r="J65">
        <v>14.9</v>
      </c>
      <c r="K65">
        <v>14.8</v>
      </c>
      <c r="L65">
        <v>15</v>
      </c>
      <c r="M65">
        <v>14.1</v>
      </c>
      <c r="N65">
        <v>16.600000000000001</v>
      </c>
      <c r="O65">
        <v>16.100000000000001</v>
      </c>
      <c r="P65">
        <v>14.3</v>
      </c>
      <c r="Q65">
        <v>15.2</v>
      </c>
      <c r="R65">
        <v>14</v>
      </c>
      <c r="S65">
        <v>13.9</v>
      </c>
      <c r="T65">
        <v>14.8</v>
      </c>
      <c r="U65">
        <v>15.8</v>
      </c>
      <c r="V65">
        <v>14.3</v>
      </c>
      <c r="W65">
        <v>14.5</v>
      </c>
    </row>
    <row r="66" spans="1:23" x14ac:dyDescent="0.25">
      <c r="A66">
        <v>16</v>
      </c>
      <c r="B66">
        <v>15.2</v>
      </c>
      <c r="C66">
        <v>15.75</v>
      </c>
      <c r="D66">
        <v>15.6</v>
      </c>
      <c r="E66">
        <v>13.4</v>
      </c>
      <c r="F66">
        <v>14.6</v>
      </c>
      <c r="G66">
        <v>14.5</v>
      </c>
      <c r="H66">
        <v>15.8</v>
      </c>
      <c r="I66">
        <v>14.8</v>
      </c>
      <c r="J66">
        <v>15.2</v>
      </c>
      <c r="K66">
        <v>14.8</v>
      </c>
      <c r="L66">
        <v>15.7</v>
      </c>
      <c r="M66">
        <v>15.5</v>
      </c>
      <c r="N66">
        <v>16.3</v>
      </c>
      <c r="O66">
        <v>17.3</v>
      </c>
      <c r="P66">
        <v>14.4</v>
      </c>
      <c r="Q66">
        <v>14</v>
      </c>
      <c r="R66">
        <v>14.8</v>
      </c>
      <c r="S66">
        <v>14.3</v>
      </c>
      <c r="T66">
        <v>14.1</v>
      </c>
      <c r="U66">
        <v>15.9</v>
      </c>
      <c r="V66">
        <v>15.8</v>
      </c>
      <c r="W66">
        <v>15.5</v>
      </c>
    </row>
    <row r="67" spans="1:23" x14ac:dyDescent="0.25">
      <c r="A67">
        <v>15.8</v>
      </c>
      <c r="B67">
        <v>15.5</v>
      </c>
      <c r="C67">
        <v>16</v>
      </c>
      <c r="D67">
        <v>16.600000000000001</v>
      </c>
      <c r="E67">
        <v>13.9</v>
      </c>
      <c r="F67">
        <v>16.399999999999999</v>
      </c>
      <c r="G67">
        <v>16</v>
      </c>
      <c r="H67">
        <v>15.2</v>
      </c>
      <c r="I67">
        <v>15.3</v>
      </c>
      <c r="J67">
        <v>15.1</v>
      </c>
      <c r="K67">
        <v>15.6</v>
      </c>
      <c r="L67">
        <v>13.36</v>
      </c>
      <c r="M67">
        <v>16.2</v>
      </c>
      <c r="N67">
        <v>16.2</v>
      </c>
      <c r="O67">
        <v>14.4</v>
      </c>
      <c r="P67">
        <v>15</v>
      </c>
      <c r="Q67">
        <v>15.9</v>
      </c>
      <c r="R67">
        <v>14.8</v>
      </c>
      <c r="S67">
        <v>15.2</v>
      </c>
      <c r="T67">
        <v>15.3</v>
      </c>
      <c r="U67">
        <v>15.9</v>
      </c>
      <c r="V67">
        <v>14.9</v>
      </c>
      <c r="W67">
        <v>15.5</v>
      </c>
    </row>
    <row r="68" spans="1:23" x14ac:dyDescent="0.25">
      <c r="A68">
        <v>15.7</v>
      </c>
      <c r="B68">
        <v>15</v>
      </c>
      <c r="C68">
        <v>16.2</v>
      </c>
      <c r="D68">
        <v>15.9</v>
      </c>
      <c r="E68">
        <v>14</v>
      </c>
      <c r="F68">
        <v>16</v>
      </c>
      <c r="G68">
        <v>15.8</v>
      </c>
      <c r="H68">
        <v>16.7</v>
      </c>
      <c r="I68">
        <v>13.9</v>
      </c>
      <c r="J68">
        <v>15.2</v>
      </c>
      <c r="K68">
        <v>14.5</v>
      </c>
      <c r="L68">
        <v>14.5</v>
      </c>
      <c r="M68">
        <v>15.6</v>
      </c>
      <c r="N68">
        <v>16.899999999999999</v>
      </c>
      <c r="O68">
        <v>15.8</v>
      </c>
      <c r="P68">
        <v>15.5</v>
      </c>
      <c r="Q68">
        <v>15.4</v>
      </c>
      <c r="R68">
        <v>14.2</v>
      </c>
      <c r="S68">
        <v>14.1</v>
      </c>
      <c r="T68">
        <v>14.7</v>
      </c>
      <c r="U68">
        <v>15.3</v>
      </c>
      <c r="V68">
        <v>14.8</v>
      </c>
      <c r="W68">
        <v>15.4</v>
      </c>
    </row>
    <row r="69" spans="1:23" x14ac:dyDescent="0.25">
      <c r="A69">
        <v>14.3</v>
      </c>
      <c r="B69">
        <v>15.5</v>
      </c>
      <c r="C69">
        <v>15.45</v>
      </c>
      <c r="D69">
        <v>17.600000000000001</v>
      </c>
      <c r="E69">
        <v>13.4</v>
      </c>
      <c r="F69">
        <v>18.5</v>
      </c>
      <c r="G69">
        <v>15.7</v>
      </c>
      <c r="H69">
        <v>16</v>
      </c>
      <c r="I69">
        <v>15</v>
      </c>
      <c r="J69">
        <v>15.2</v>
      </c>
      <c r="K69">
        <v>14.7</v>
      </c>
      <c r="L69">
        <v>14.7</v>
      </c>
      <c r="M69">
        <v>15.8</v>
      </c>
      <c r="N69">
        <v>17.899999999999999</v>
      </c>
      <c r="O69">
        <v>16.2</v>
      </c>
      <c r="P69">
        <v>14.6</v>
      </c>
      <c r="Q69">
        <v>14.4</v>
      </c>
      <c r="R69">
        <v>14.2</v>
      </c>
      <c r="S69">
        <v>14.5</v>
      </c>
      <c r="T69">
        <v>14</v>
      </c>
      <c r="U69">
        <v>14.6</v>
      </c>
      <c r="V69">
        <v>14.9</v>
      </c>
      <c r="W69">
        <v>15.4</v>
      </c>
    </row>
    <row r="70" spans="1:23" x14ac:dyDescent="0.25">
      <c r="A70">
        <v>15.6</v>
      </c>
      <c r="B70">
        <v>15.2</v>
      </c>
      <c r="C70">
        <v>14.8</v>
      </c>
      <c r="D70">
        <v>15.1</v>
      </c>
      <c r="E70">
        <v>13.6</v>
      </c>
      <c r="F70">
        <v>16.3</v>
      </c>
      <c r="G70">
        <v>16.100000000000001</v>
      </c>
      <c r="H70">
        <v>16.5</v>
      </c>
      <c r="I70">
        <v>14.8</v>
      </c>
      <c r="J70">
        <v>16</v>
      </c>
      <c r="K70">
        <v>15.6</v>
      </c>
      <c r="L70">
        <v>15</v>
      </c>
      <c r="M70">
        <v>15.4</v>
      </c>
      <c r="N70">
        <v>14.1</v>
      </c>
      <c r="O70">
        <v>13.9</v>
      </c>
      <c r="P70">
        <v>14</v>
      </c>
      <c r="Q70">
        <v>14</v>
      </c>
      <c r="R70">
        <v>16.2</v>
      </c>
      <c r="S70">
        <v>14.1</v>
      </c>
      <c r="T70">
        <v>13.5</v>
      </c>
      <c r="U70">
        <v>15.4</v>
      </c>
      <c r="V70">
        <v>15.5</v>
      </c>
      <c r="W70">
        <v>14.9</v>
      </c>
    </row>
    <row r="71" spans="1:23" x14ac:dyDescent="0.25">
      <c r="A71">
        <v>15.3</v>
      </c>
      <c r="B71">
        <v>15.7</v>
      </c>
      <c r="C71">
        <v>15.5</v>
      </c>
      <c r="D71">
        <v>16</v>
      </c>
      <c r="E71">
        <v>12.9</v>
      </c>
      <c r="F71">
        <v>18.3</v>
      </c>
      <c r="G71">
        <v>14.55</v>
      </c>
      <c r="H71">
        <v>16.149999999999999</v>
      </c>
      <c r="I71">
        <v>15</v>
      </c>
      <c r="J71">
        <v>15.3</v>
      </c>
      <c r="K71">
        <v>14.7</v>
      </c>
      <c r="L71">
        <v>15.7</v>
      </c>
      <c r="M71">
        <v>16.600000000000001</v>
      </c>
      <c r="N71">
        <v>14.4</v>
      </c>
      <c r="O71">
        <v>14.7</v>
      </c>
      <c r="P71">
        <v>15.3</v>
      </c>
      <c r="Q71">
        <v>14.4</v>
      </c>
      <c r="R71">
        <v>15.5</v>
      </c>
      <c r="S71">
        <v>15</v>
      </c>
      <c r="T71">
        <v>15.1</v>
      </c>
      <c r="U71">
        <v>15.5</v>
      </c>
      <c r="V71">
        <v>15.2</v>
      </c>
      <c r="W71">
        <v>15.5</v>
      </c>
    </row>
    <row r="72" spans="1:23" x14ac:dyDescent="0.25">
      <c r="A72">
        <v>14.4</v>
      </c>
      <c r="B72">
        <v>15.1</v>
      </c>
      <c r="C72">
        <v>15.1</v>
      </c>
      <c r="D72">
        <v>15.6</v>
      </c>
      <c r="E72">
        <v>13.5</v>
      </c>
      <c r="F72">
        <v>15.2</v>
      </c>
      <c r="G72">
        <v>17.5</v>
      </c>
      <c r="H72">
        <v>15.75</v>
      </c>
      <c r="I72">
        <v>15</v>
      </c>
      <c r="J72">
        <v>17.100000000000001</v>
      </c>
      <c r="K72">
        <v>15.1</v>
      </c>
      <c r="L72">
        <v>14.9</v>
      </c>
      <c r="M72">
        <v>16.54</v>
      </c>
      <c r="N72">
        <v>14</v>
      </c>
      <c r="O72">
        <v>15.8</v>
      </c>
      <c r="P72">
        <v>16.3</v>
      </c>
      <c r="Q72">
        <v>13</v>
      </c>
      <c r="R72">
        <v>14.4</v>
      </c>
      <c r="S72">
        <v>14.3</v>
      </c>
      <c r="T72">
        <v>14.1</v>
      </c>
      <c r="U72">
        <v>15.5</v>
      </c>
      <c r="V72">
        <v>15.1</v>
      </c>
      <c r="W72">
        <v>15.5</v>
      </c>
    </row>
    <row r="73" spans="1:23" x14ac:dyDescent="0.25">
      <c r="A73">
        <v>15.5</v>
      </c>
      <c r="B73">
        <v>15.4</v>
      </c>
      <c r="C73">
        <v>15.3</v>
      </c>
      <c r="D73">
        <v>16.600000000000001</v>
      </c>
      <c r="E73">
        <v>14.1</v>
      </c>
      <c r="F73">
        <v>15.3</v>
      </c>
      <c r="G73">
        <v>16.3</v>
      </c>
      <c r="H73">
        <v>14.75</v>
      </c>
      <c r="I73">
        <v>14.1</v>
      </c>
      <c r="J73">
        <v>15.1</v>
      </c>
      <c r="K73">
        <v>15.5</v>
      </c>
      <c r="L73">
        <v>16.399999999999999</v>
      </c>
      <c r="M73">
        <v>16.3</v>
      </c>
      <c r="N73">
        <v>13.9</v>
      </c>
      <c r="O73">
        <v>16.079999999999998</v>
      </c>
      <c r="P73">
        <v>14.4</v>
      </c>
      <c r="Q73">
        <v>16.8</v>
      </c>
      <c r="R73">
        <v>14.8</v>
      </c>
      <c r="S73">
        <v>14.4</v>
      </c>
      <c r="T73">
        <v>13.6</v>
      </c>
      <c r="U73">
        <v>15.2</v>
      </c>
      <c r="V73">
        <v>15.2</v>
      </c>
      <c r="W73">
        <v>15.6</v>
      </c>
    </row>
    <row r="74" spans="1:23" x14ac:dyDescent="0.25">
      <c r="A74">
        <v>14.7</v>
      </c>
      <c r="B74">
        <v>16.8</v>
      </c>
      <c r="C74">
        <v>15.45</v>
      </c>
      <c r="D74">
        <v>15.5</v>
      </c>
      <c r="E74">
        <v>15.4</v>
      </c>
      <c r="F74">
        <v>15.6</v>
      </c>
      <c r="G74">
        <v>16.3</v>
      </c>
      <c r="H74">
        <v>15.8</v>
      </c>
      <c r="I74">
        <v>14.4</v>
      </c>
      <c r="J74">
        <v>14.7</v>
      </c>
      <c r="K74">
        <v>14.6</v>
      </c>
      <c r="L74">
        <v>16.399999999999999</v>
      </c>
      <c r="M74">
        <v>15.7</v>
      </c>
      <c r="N74">
        <v>15.8</v>
      </c>
      <c r="O74">
        <v>16.399999999999999</v>
      </c>
      <c r="P74">
        <v>16.399999999999999</v>
      </c>
      <c r="Q74">
        <v>14.7</v>
      </c>
      <c r="R74">
        <v>15</v>
      </c>
      <c r="S74">
        <v>14.9</v>
      </c>
      <c r="T74">
        <v>14.2</v>
      </c>
      <c r="U74">
        <v>15.3</v>
      </c>
      <c r="V74">
        <v>16</v>
      </c>
      <c r="W74">
        <v>16</v>
      </c>
    </row>
    <row r="75" spans="1:23" x14ac:dyDescent="0.25">
      <c r="A75">
        <v>16</v>
      </c>
      <c r="B75">
        <v>15.2</v>
      </c>
      <c r="C75">
        <v>15.3</v>
      </c>
      <c r="D75">
        <v>13.4</v>
      </c>
      <c r="E75">
        <v>15.3</v>
      </c>
      <c r="F75">
        <v>16</v>
      </c>
      <c r="G75">
        <v>16.399999999999999</v>
      </c>
      <c r="H75">
        <v>15.8</v>
      </c>
      <c r="I75">
        <v>14.5</v>
      </c>
      <c r="J75">
        <v>15.5</v>
      </c>
      <c r="K75">
        <v>15.5</v>
      </c>
      <c r="L75">
        <v>16.8</v>
      </c>
      <c r="M75">
        <v>16.100000000000001</v>
      </c>
      <c r="N75">
        <v>15.6</v>
      </c>
      <c r="O75">
        <v>14.6</v>
      </c>
      <c r="P75">
        <v>15.2</v>
      </c>
      <c r="Q75">
        <v>12</v>
      </c>
      <c r="R75">
        <v>14.4</v>
      </c>
      <c r="S75">
        <v>14.1</v>
      </c>
      <c r="T75">
        <v>15</v>
      </c>
      <c r="U75">
        <v>15</v>
      </c>
      <c r="V75">
        <v>14.9</v>
      </c>
      <c r="W75">
        <v>16.2</v>
      </c>
    </row>
    <row r="76" spans="1:23" x14ac:dyDescent="0.25">
      <c r="A76">
        <v>15.4</v>
      </c>
      <c r="B76">
        <v>14.4</v>
      </c>
      <c r="C76">
        <v>15.4</v>
      </c>
      <c r="D76">
        <v>15.15</v>
      </c>
      <c r="E76">
        <v>14.2</v>
      </c>
      <c r="F76">
        <v>15</v>
      </c>
      <c r="G76">
        <v>15.1</v>
      </c>
      <c r="H76">
        <v>14.7</v>
      </c>
      <c r="I76">
        <v>14.9</v>
      </c>
      <c r="J76">
        <v>15.6</v>
      </c>
      <c r="K76">
        <v>15.3</v>
      </c>
      <c r="L76">
        <v>14.7</v>
      </c>
      <c r="M76">
        <v>16.7</v>
      </c>
      <c r="N76">
        <v>16.399999999999999</v>
      </c>
      <c r="O76">
        <v>15.1</v>
      </c>
      <c r="P76">
        <v>14.1</v>
      </c>
      <c r="Q76">
        <v>14</v>
      </c>
      <c r="R76">
        <v>14.7</v>
      </c>
      <c r="S76">
        <v>14.4</v>
      </c>
      <c r="T76">
        <v>14.5</v>
      </c>
      <c r="U76">
        <v>14.6</v>
      </c>
      <c r="V76">
        <v>15.3</v>
      </c>
      <c r="W76">
        <v>15.6</v>
      </c>
    </row>
    <row r="77" spans="1:23" x14ac:dyDescent="0.25">
      <c r="A77">
        <v>15.6</v>
      </c>
      <c r="B77">
        <v>14.3</v>
      </c>
      <c r="C77">
        <v>13.2</v>
      </c>
      <c r="D77">
        <v>15.1</v>
      </c>
      <c r="E77">
        <v>14.1</v>
      </c>
      <c r="F77">
        <v>15.3</v>
      </c>
      <c r="G77">
        <v>15</v>
      </c>
      <c r="H77">
        <v>16.399999999999999</v>
      </c>
      <c r="I77">
        <v>15.8</v>
      </c>
      <c r="J77">
        <v>15</v>
      </c>
      <c r="K77">
        <v>14.7</v>
      </c>
      <c r="L77">
        <v>15.2</v>
      </c>
      <c r="M77">
        <v>15</v>
      </c>
      <c r="N77">
        <v>16.2</v>
      </c>
      <c r="O77">
        <v>15.2</v>
      </c>
      <c r="P77">
        <v>14.5</v>
      </c>
      <c r="Q77">
        <v>14</v>
      </c>
      <c r="R77">
        <v>15.9</v>
      </c>
      <c r="S77">
        <v>14.6</v>
      </c>
      <c r="T77">
        <v>14.9</v>
      </c>
      <c r="U77">
        <v>14.3</v>
      </c>
      <c r="V77">
        <v>15.9</v>
      </c>
      <c r="W77">
        <v>15.6</v>
      </c>
    </row>
    <row r="78" spans="1:23" x14ac:dyDescent="0.25">
      <c r="A78">
        <v>14.2</v>
      </c>
      <c r="B78">
        <v>15.01</v>
      </c>
      <c r="C78">
        <v>13.5</v>
      </c>
      <c r="D78">
        <v>15.7</v>
      </c>
      <c r="E78">
        <v>14</v>
      </c>
      <c r="F78">
        <v>16.5</v>
      </c>
      <c r="G78">
        <v>15.1</v>
      </c>
      <c r="H78">
        <v>15.4</v>
      </c>
      <c r="I78">
        <v>14.7</v>
      </c>
      <c r="J78">
        <v>14</v>
      </c>
      <c r="K78">
        <v>14.4</v>
      </c>
      <c r="L78">
        <v>15</v>
      </c>
      <c r="M78">
        <v>15.6</v>
      </c>
      <c r="N78">
        <v>16</v>
      </c>
      <c r="O78">
        <v>16.5</v>
      </c>
      <c r="P78">
        <v>14.7</v>
      </c>
      <c r="Q78">
        <v>14.3</v>
      </c>
      <c r="R78">
        <v>15.7</v>
      </c>
      <c r="S78">
        <v>15.6</v>
      </c>
      <c r="T78">
        <v>15</v>
      </c>
      <c r="U78">
        <v>14.5</v>
      </c>
      <c r="V78">
        <v>14.9</v>
      </c>
      <c r="W78">
        <v>14.9</v>
      </c>
    </row>
    <row r="79" spans="1:23" x14ac:dyDescent="0.25">
      <c r="A79">
        <v>16.100000000000001</v>
      </c>
      <c r="B79">
        <v>14.7</v>
      </c>
      <c r="C79">
        <v>15.65</v>
      </c>
      <c r="D79">
        <v>15.3</v>
      </c>
      <c r="E79">
        <v>13.8</v>
      </c>
      <c r="F79">
        <v>15.4</v>
      </c>
      <c r="G79">
        <v>14.8</v>
      </c>
      <c r="H79">
        <v>14.7</v>
      </c>
      <c r="I79">
        <v>14.4</v>
      </c>
      <c r="J79">
        <v>14.7</v>
      </c>
      <c r="K79">
        <v>14.5</v>
      </c>
      <c r="L79">
        <v>13.5</v>
      </c>
      <c r="M79">
        <v>15.4</v>
      </c>
      <c r="N79">
        <v>16.8</v>
      </c>
      <c r="O79">
        <v>15.5</v>
      </c>
      <c r="P79">
        <v>14.5</v>
      </c>
      <c r="Q79">
        <v>14.9</v>
      </c>
      <c r="R79">
        <v>15.6</v>
      </c>
      <c r="S79">
        <v>14.3</v>
      </c>
      <c r="T79">
        <v>14.4</v>
      </c>
      <c r="U79">
        <v>15.7</v>
      </c>
      <c r="V79">
        <v>14.9</v>
      </c>
      <c r="W79">
        <v>15.4</v>
      </c>
    </row>
    <row r="80" spans="1:23" x14ac:dyDescent="0.25">
      <c r="A80">
        <v>15.7</v>
      </c>
      <c r="B80">
        <v>15.3</v>
      </c>
      <c r="C80">
        <v>12.9</v>
      </c>
      <c r="D80">
        <v>15.6</v>
      </c>
      <c r="E80">
        <v>13.3</v>
      </c>
      <c r="F80">
        <v>15.5</v>
      </c>
      <c r="G80">
        <v>14.7</v>
      </c>
      <c r="H80">
        <v>16.2</v>
      </c>
      <c r="I80">
        <v>14.8</v>
      </c>
      <c r="J80">
        <v>14.8</v>
      </c>
      <c r="K80">
        <v>15.5</v>
      </c>
      <c r="L80">
        <v>15.5</v>
      </c>
      <c r="M80">
        <v>15.4</v>
      </c>
      <c r="N80">
        <v>15.5</v>
      </c>
      <c r="O80">
        <v>16.5</v>
      </c>
      <c r="P80">
        <v>15</v>
      </c>
      <c r="Q80">
        <v>14.15</v>
      </c>
      <c r="R80">
        <v>14.5</v>
      </c>
      <c r="S80">
        <v>14.2</v>
      </c>
      <c r="T80">
        <v>14.3</v>
      </c>
      <c r="U80">
        <v>14.4</v>
      </c>
      <c r="V80">
        <v>14.8</v>
      </c>
      <c r="W80">
        <v>14.7</v>
      </c>
    </row>
    <row r="81" spans="1:23" x14ac:dyDescent="0.25">
      <c r="A81">
        <v>16.3</v>
      </c>
      <c r="B81">
        <v>15.6</v>
      </c>
      <c r="C81">
        <v>15.8</v>
      </c>
      <c r="D81">
        <v>15.4</v>
      </c>
      <c r="E81">
        <v>13.7</v>
      </c>
      <c r="F81">
        <v>14.9</v>
      </c>
      <c r="G81">
        <v>14.7</v>
      </c>
      <c r="H81">
        <v>16.399999999999999</v>
      </c>
      <c r="I81">
        <v>14</v>
      </c>
      <c r="J81">
        <v>15</v>
      </c>
      <c r="K81">
        <v>15.5</v>
      </c>
      <c r="L81">
        <v>14.9</v>
      </c>
      <c r="M81">
        <v>16.399999999999999</v>
      </c>
      <c r="N81">
        <v>15.7</v>
      </c>
      <c r="O81">
        <v>16.5</v>
      </c>
      <c r="P81">
        <v>14.5</v>
      </c>
      <c r="Q81">
        <v>15.4</v>
      </c>
      <c r="R81">
        <v>14.6</v>
      </c>
      <c r="S81">
        <v>13.6</v>
      </c>
      <c r="T81">
        <v>14.3</v>
      </c>
      <c r="U81">
        <v>15.4</v>
      </c>
      <c r="V81">
        <v>14.7</v>
      </c>
      <c r="W81">
        <v>15.5</v>
      </c>
    </row>
    <row r="82" spans="1:23" x14ac:dyDescent="0.25">
      <c r="A82">
        <v>15.5</v>
      </c>
      <c r="B82">
        <v>16.5</v>
      </c>
      <c r="C82">
        <v>15.9</v>
      </c>
      <c r="D82">
        <v>15.1</v>
      </c>
      <c r="E82">
        <v>14.3</v>
      </c>
      <c r="F82">
        <v>15.2</v>
      </c>
      <c r="G82">
        <v>15</v>
      </c>
      <c r="H82">
        <v>15.9</v>
      </c>
      <c r="I82">
        <v>14.7</v>
      </c>
      <c r="J82">
        <v>15.2</v>
      </c>
      <c r="K82">
        <v>14.8</v>
      </c>
      <c r="L82">
        <v>15.5</v>
      </c>
      <c r="M82">
        <v>16.100000000000001</v>
      </c>
      <c r="N82">
        <v>16.399999999999999</v>
      </c>
      <c r="O82">
        <v>15.5</v>
      </c>
      <c r="P82">
        <v>14.8</v>
      </c>
      <c r="Q82">
        <v>15.7</v>
      </c>
      <c r="R82">
        <v>14.8</v>
      </c>
      <c r="S82">
        <v>15.9</v>
      </c>
      <c r="T82">
        <v>14.3</v>
      </c>
      <c r="U82">
        <v>15.8</v>
      </c>
      <c r="V82">
        <v>14.9</v>
      </c>
      <c r="W82">
        <v>15.1</v>
      </c>
    </row>
    <row r="83" spans="1:23" x14ac:dyDescent="0.25">
      <c r="A83">
        <v>15.2</v>
      </c>
      <c r="B83">
        <v>15.3</v>
      </c>
      <c r="C83">
        <v>16.149999999999999</v>
      </c>
      <c r="D83">
        <v>15.4</v>
      </c>
      <c r="E83">
        <v>14.2</v>
      </c>
      <c r="F83">
        <v>15.9</v>
      </c>
      <c r="G83">
        <v>15.7</v>
      </c>
      <c r="H83">
        <v>16.5</v>
      </c>
      <c r="I83">
        <v>14.1</v>
      </c>
      <c r="J83">
        <v>15.6</v>
      </c>
      <c r="K83">
        <v>14.7</v>
      </c>
      <c r="L83">
        <v>14.7</v>
      </c>
      <c r="M83">
        <v>15.7</v>
      </c>
      <c r="N83">
        <v>16.3</v>
      </c>
      <c r="O83">
        <v>14.7</v>
      </c>
      <c r="P83">
        <v>14.2</v>
      </c>
      <c r="Q83">
        <v>15.4</v>
      </c>
      <c r="R83">
        <v>14.9</v>
      </c>
      <c r="S83">
        <v>14.5</v>
      </c>
      <c r="T83">
        <v>14.1</v>
      </c>
      <c r="U83">
        <v>15.2</v>
      </c>
      <c r="V83">
        <v>15.1</v>
      </c>
      <c r="W83">
        <v>15.2</v>
      </c>
    </row>
    <row r="84" spans="1:23" x14ac:dyDescent="0.25">
      <c r="A84">
        <v>15.7</v>
      </c>
      <c r="B84">
        <v>16</v>
      </c>
      <c r="C84">
        <v>15.6</v>
      </c>
      <c r="D84">
        <v>15.9</v>
      </c>
      <c r="E84">
        <v>13.2</v>
      </c>
      <c r="F84">
        <v>16.2</v>
      </c>
      <c r="G84">
        <v>15.4</v>
      </c>
      <c r="H84">
        <v>16.3</v>
      </c>
      <c r="I84">
        <v>14.8</v>
      </c>
      <c r="J84">
        <v>15.6</v>
      </c>
      <c r="K84">
        <v>14.7</v>
      </c>
      <c r="L84">
        <v>14.2</v>
      </c>
      <c r="M84">
        <v>15.7</v>
      </c>
      <c r="N84">
        <v>14.9</v>
      </c>
      <c r="O84">
        <v>16.899999999999999</v>
      </c>
      <c r="P84">
        <v>14.4</v>
      </c>
      <c r="Q84">
        <v>16</v>
      </c>
      <c r="R84">
        <v>15</v>
      </c>
      <c r="S84">
        <v>14.7</v>
      </c>
      <c r="T84">
        <v>13.5</v>
      </c>
      <c r="U84">
        <v>14.8</v>
      </c>
      <c r="V84">
        <v>15.5</v>
      </c>
      <c r="W84">
        <v>14.8</v>
      </c>
    </row>
    <row r="85" spans="1:23" x14ac:dyDescent="0.25">
      <c r="A85">
        <v>15.7</v>
      </c>
      <c r="B85">
        <v>16.5</v>
      </c>
      <c r="C85">
        <v>15.7</v>
      </c>
      <c r="D85">
        <v>17.100000000000001</v>
      </c>
      <c r="E85">
        <v>13.5</v>
      </c>
      <c r="F85">
        <v>15</v>
      </c>
      <c r="G85">
        <v>15.7</v>
      </c>
      <c r="H85">
        <v>16.55</v>
      </c>
      <c r="I85">
        <v>14.9</v>
      </c>
      <c r="J85">
        <v>15.8</v>
      </c>
      <c r="K85">
        <v>14.6</v>
      </c>
      <c r="L85">
        <v>17.100000000000001</v>
      </c>
      <c r="M85">
        <v>15.4</v>
      </c>
      <c r="N85">
        <v>14.2</v>
      </c>
      <c r="O85">
        <v>13.7</v>
      </c>
      <c r="P85">
        <v>14.1</v>
      </c>
      <c r="Q85">
        <v>14.1</v>
      </c>
      <c r="R85">
        <v>14.2</v>
      </c>
      <c r="S85">
        <v>14.5</v>
      </c>
      <c r="T85">
        <v>14</v>
      </c>
      <c r="U85">
        <v>15.4</v>
      </c>
      <c r="V85">
        <v>16.2</v>
      </c>
      <c r="W85">
        <v>15</v>
      </c>
    </row>
    <row r="86" spans="1:23" x14ac:dyDescent="0.25">
      <c r="A86">
        <v>15.6</v>
      </c>
      <c r="B86">
        <v>16.8</v>
      </c>
      <c r="C86">
        <v>15.5</v>
      </c>
      <c r="D86">
        <v>16.2</v>
      </c>
      <c r="E86">
        <v>12.7</v>
      </c>
      <c r="F86">
        <v>15.5</v>
      </c>
      <c r="G86">
        <v>15.4</v>
      </c>
      <c r="H86">
        <v>15.85</v>
      </c>
      <c r="I86">
        <v>14.7</v>
      </c>
      <c r="J86">
        <v>16.100000000000001</v>
      </c>
      <c r="K86">
        <v>14.7</v>
      </c>
      <c r="L86">
        <v>15.5</v>
      </c>
      <c r="M86">
        <v>15.4</v>
      </c>
      <c r="N86">
        <v>15.2</v>
      </c>
      <c r="O86">
        <v>14.6</v>
      </c>
      <c r="P86">
        <v>15.6</v>
      </c>
      <c r="Q86">
        <v>14</v>
      </c>
      <c r="R86">
        <v>15.4</v>
      </c>
      <c r="S86">
        <v>14.6</v>
      </c>
      <c r="T86">
        <v>14.2</v>
      </c>
      <c r="U86">
        <v>15.7</v>
      </c>
      <c r="V86">
        <v>15.5</v>
      </c>
      <c r="W86">
        <v>15.1</v>
      </c>
    </row>
    <row r="87" spans="1:23" x14ac:dyDescent="0.25">
      <c r="A87">
        <v>15.6</v>
      </c>
      <c r="B87">
        <v>15</v>
      </c>
      <c r="C87">
        <v>15.7</v>
      </c>
      <c r="D87">
        <v>15.7</v>
      </c>
      <c r="E87">
        <v>13.8</v>
      </c>
      <c r="F87">
        <v>15.2</v>
      </c>
      <c r="G87">
        <v>16.7</v>
      </c>
      <c r="H87">
        <v>15.95</v>
      </c>
      <c r="I87">
        <v>14.2</v>
      </c>
      <c r="J87">
        <v>15.6</v>
      </c>
      <c r="K87">
        <v>14.8</v>
      </c>
      <c r="L87">
        <v>15.5</v>
      </c>
      <c r="M87">
        <v>14.7</v>
      </c>
      <c r="N87">
        <v>15.3</v>
      </c>
      <c r="O87">
        <v>15.94</v>
      </c>
      <c r="P87">
        <v>14.7</v>
      </c>
      <c r="Q87">
        <v>14.1</v>
      </c>
      <c r="R87">
        <v>15.2</v>
      </c>
      <c r="S87">
        <v>14.3</v>
      </c>
      <c r="T87">
        <v>14.9</v>
      </c>
      <c r="U87">
        <v>15.4</v>
      </c>
      <c r="V87">
        <v>15.6</v>
      </c>
      <c r="W87">
        <v>15.7</v>
      </c>
    </row>
    <row r="88" spans="1:23" x14ac:dyDescent="0.25">
      <c r="A88">
        <v>15.5</v>
      </c>
      <c r="B88">
        <v>15.3</v>
      </c>
      <c r="C88">
        <v>15.35</v>
      </c>
      <c r="D88">
        <v>16.8</v>
      </c>
      <c r="E88">
        <v>13.5</v>
      </c>
      <c r="F88">
        <v>15.1</v>
      </c>
      <c r="G88">
        <v>16.5</v>
      </c>
      <c r="H88">
        <v>15.15</v>
      </c>
      <c r="I88">
        <v>13.8</v>
      </c>
      <c r="J88">
        <v>16.100000000000001</v>
      </c>
      <c r="K88">
        <v>14.8</v>
      </c>
      <c r="L88">
        <v>15.6</v>
      </c>
      <c r="M88">
        <v>15.9</v>
      </c>
      <c r="N88">
        <v>13.9</v>
      </c>
      <c r="O88">
        <v>15.92</v>
      </c>
      <c r="P88">
        <v>15.3</v>
      </c>
      <c r="Q88">
        <v>12.6</v>
      </c>
      <c r="R88">
        <v>14.5</v>
      </c>
      <c r="S88">
        <v>14.8</v>
      </c>
      <c r="T88">
        <v>13.9</v>
      </c>
      <c r="U88">
        <v>15.1</v>
      </c>
      <c r="V88">
        <v>15.7</v>
      </c>
      <c r="W88">
        <v>15.7</v>
      </c>
    </row>
    <row r="89" spans="1:23" x14ac:dyDescent="0.25">
      <c r="A89">
        <v>15.8</v>
      </c>
      <c r="B89">
        <v>15.4</v>
      </c>
      <c r="C89">
        <v>15.5</v>
      </c>
      <c r="D89">
        <v>15.5</v>
      </c>
      <c r="E89">
        <v>15.5</v>
      </c>
      <c r="F89">
        <v>15.5</v>
      </c>
      <c r="G89">
        <v>16.399999999999999</v>
      </c>
      <c r="H89">
        <v>15.2</v>
      </c>
      <c r="I89">
        <v>14.1</v>
      </c>
      <c r="J89">
        <v>15.4</v>
      </c>
      <c r="K89">
        <v>15.3</v>
      </c>
      <c r="L89">
        <v>16.399999999999999</v>
      </c>
      <c r="M89">
        <v>16.62</v>
      </c>
      <c r="N89">
        <v>15.5</v>
      </c>
      <c r="O89">
        <v>15.86</v>
      </c>
      <c r="P89">
        <v>15.2</v>
      </c>
      <c r="Q89">
        <v>14.2</v>
      </c>
      <c r="R89">
        <v>14.5</v>
      </c>
      <c r="S89">
        <v>14.3</v>
      </c>
      <c r="T89">
        <v>14.4</v>
      </c>
      <c r="U89">
        <v>15.6</v>
      </c>
      <c r="V89">
        <v>15.1</v>
      </c>
      <c r="W89">
        <v>16.100000000000001</v>
      </c>
    </row>
    <row r="90" spans="1:23" x14ac:dyDescent="0.25">
      <c r="A90">
        <v>15.4</v>
      </c>
      <c r="B90">
        <v>15.2</v>
      </c>
      <c r="C90">
        <v>16</v>
      </c>
      <c r="D90">
        <v>15.4</v>
      </c>
      <c r="E90">
        <v>15.4</v>
      </c>
      <c r="F90">
        <v>15.6</v>
      </c>
      <c r="G90">
        <v>17.2</v>
      </c>
      <c r="H90">
        <v>16</v>
      </c>
      <c r="I90">
        <v>14</v>
      </c>
      <c r="J90">
        <v>14.8</v>
      </c>
      <c r="K90">
        <v>14.7</v>
      </c>
      <c r="L90">
        <v>17</v>
      </c>
      <c r="M90">
        <v>16.100000000000001</v>
      </c>
      <c r="N90">
        <v>16.3</v>
      </c>
      <c r="O90">
        <v>14.7</v>
      </c>
      <c r="P90">
        <v>15.4</v>
      </c>
      <c r="Q90">
        <v>14.4</v>
      </c>
      <c r="R90">
        <v>14.6</v>
      </c>
      <c r="S90">
        <v>14.4</v>
      </c>
      <c r="T90">
        <v>14.7</v>
      </c>
      <c r="U90">
        <v>15.3</v>
      </c>
      <c r="V90">
        <v>15.3</v>
      </c>
      <c r="W90">
        <v>14.7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2:L22"/>
  <sheetViews>
    <sheetView workbookViewId="0">
      <pane xSplit="3" topLeftCell="E1" activePane="topRight" state="frozen"/>
      <selection pane="topRight" activeCell="A8" sqref="A8:XFD8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1778</v>
      </c>
      <c r="C4" s="26" t="s">
        <v>1779</v>
      </c>
      <c r="D4" s="65" t="s">
        <v>1781</v>
      </c>
      <c r="E4" s="39" t="s">
        <v>1780</v>
      </c>
      <c r="F4" s="16">
        <v>311.89999999999998</v>
      </c>
      <c r="G4" s="16">
        <v>500</v>
      </c>
      <c r="H4" s="17">
        <v>311.89999999999998</v>
      </c>
      <c r="I4" s="16">
        <f>G4-H4</f>
        <v>188.10000000000002</v>
      </c>
      <c r="J4" s="16" t="s">
        <v>16</v>
      </c>
      <c r="K4" s="18"/>
      <c r="L4" s="19"/>
    </row>
    <row r="5" spans="1:12" ht="18.75" customHeight="1" x14ac:dyDescent="0.25">
      <c r="A5" s="20" t="s">
        <v>22</v>
      </c>
      <c r="B5" s="21" t="s">
        <v>1776</v>
      </c>
      <c r="C5" s="28" t="s">
        <v>1779</v>
      </c>
      <c r="D5" s="66" t="s">
        <v>1782</v>
      </c>
      <c r="E5" s="40" t="s">
        <v>1780</v>
      </c>
      <c r="F5" s="22">
        <v>509</v>
      </c>
      <c r="G5" s="22">
        <v>500</v>
      </c>
      <c r="H5" s="23">
        <v>509</v>
      </c>
      <c r="I5" s="22">
        <f>G5-H5</f>
        <v>-9</v>
      </c>
      <c r="J5" s="22" t="s">
        <v>23</v>
      </c>
      <c r="K5" s="24"/>
      <c r="L5" s="25"/>
    </row>
    <row r="6" spans="1:12" ht="15.75" x14ac:dyDescent="0.25">
      <c r="A6" s="20" t="s">
        <v>14</v>
      </c>
      <c r="B6" s="21" t="s">
        <v>1669</v>
      </c>
      <c r="C6" s="28" t="s">
        <v>15</v>
      </c>
      <c r="D6" s="66" t="s">
        <v>1543</v>
      </c>
      <c r="E6" s="40" t="s">
        <v>220</v>
      </c>
      <c r="F6" s="22">
        <v>3500</v>
      </c>
      <c r="G6" s="42">
        <v>20000</v>
      </c>
      <c r="H6" s="23">
        <f>21000+3500</f>
        <v>24500</v>
      </c>
      <c r="I6" s="22">
        <f t="shared" ref="I6:I19" si="0">G6-H6</f>
        <v>-4500</v>
      </c>
      <c r="J6" s="22" t="s">
        <v>24</v>
      </c>
      <c r="K6" s="24"/>
      <c r="L6" s="25"/>
    </row>
    <row r="7" spans="1:12" ht="15.75" x14ac:dyDescent="0.25">
      <c r="A7" s="20" t="s">
        <v>30</v>
      </c>
      <c r="B7" s="21" t="s">
        <v>1775</v>
      </c>
      <c r="C7" s="28" t="s">
        <v>554</v>
      </c>
      <c r="D7" s="29" t="s">
        <v>37</v>
      </c>
      <c r="E7" s="40" t="s">
        <v>313</v>
      </c>
      <c r="F7" s="22">
        <v>12850</v>
      </c>
      <c r="G7" s="22">
        <v>21500</v>
      </c>
      <c r="H7" s="23">
        <f>12000+12850</f>
        <v>24850</v>
      </c>
      <c r="I7" s="22">
        <f t="shared" si="0"/>
        <v>-3350</v>
      </c>
      <c r="J7" s="22" t="s">
        <v>16</v>
      </c>
      <c r="K7" s="24"/>
      <c r="L7" s="25"/>
    </row>
    <row r="8" spans="1:12" ht="15.75" x14ac:dyDescent="0.25">
      <c r="A8" s="20" t="s">
        <v>30</v>
      </c>
      <c r="B8" s="21" t="s">
        <v>1783</v>
      </c>
      <c r="C8" s="28" t="s">
        <v>554</v>
      </c>
      <c r="D8" s="66" t="s">
        <v>37</v>
      </c>
      <c r="E8" s="40" t="s">
        <v>313</v>
      </c>
      <c r="F8" s="22">
        <v>9000</v>
      </c>
      <c r="G8" s="42">
        <v>22000</v>
      </c>
      <c r="H8" s="23">
        <v>21000</v>
      </c>
      <c r="I8" s="22">
        <f t="shared" si="0"/>
        <v>1000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 t="s">
        <v>1757</v>
      </c>
      <c r="C9" s="28" t="s">
        <v>1227</v>
      </c>
      <c r="D9" s="66" t="s">
        <v>1758</v>
      </c>
      <c r="E9" s="40" t="s">
        <v>491</v>
      </c>
      <c r="F9" s="22">
        <v>1500</v>
      </c>
      <c r="G9" s="42">
        <v>120000</v>
      </c>
      <c r="H9" s="23">
        <f>12000+72000+1500</f>
        <v>85500</v>
      </c>
      <c r="I9" s="22">
        <f t="shared" si="0"/>
        <v>34500</v>
      </c>
      <c r="J9" s="22" t="s">
        <v>16</v>
      </c>
      <c r="K9" s="24"/>
      <c r="L9" s="25"/>
    </row>
    <row r="10" spans="1:12" ht="15.75" x14ac:dyDescent="0.25">
      <c r="A10" s="20" t="s">
        <v>19</v>
      </c>
      <c r="B10" s="21" t="s">
        <v>1791</v>
      </c>
      <c r="C10" s="28" t="s">
        <v>1646</v>
      </c>
      <c r="D10" s="66" t="s">
        <v>18</v>
      </c>
      <c r="E10" s="40" t="s">
        <v>1792</v>
      </c>
      <c r="F10" s="22">
        <v>34000</v>
      </c>
      <c r="G10" s="42">
        <v>46000</v>
      </c>
      <c r="H10" s="23">
        <v>34000</v>
      </c>
      <c r="I10" s="22">
        <f>G10-H10</f>
        <v>12000</v>
      </c>
      <c r="J10" s="22" t="s">
        <v>16</v>
      </c>
      <c r="K10" s="24"/>
      <c r="L10" s="25"/>
    </row>
    <row r="11" spans="1:12" ht="15.75" x14ac:dyDescent="0.25">
      <c r="A11" s="20" t="s">
        <v>44</v>
      </c>
      <c r="B11" s="21" t="s">
        <v>1793</v>
      </c>
      <c r="C11" s="28" t="s">
        <v>15</v>
      </c>
      <c r="D11" s="66" t="s">
        <v>1613</v>
      </c>
      <c r="E11" s="40" t="s">
        <v>45</v>
      </c>
      <c r="F11" s="22">
        <v>17000</v>
      </c>
      <c r="G11" s="42">
        <v>500000</v>
      </c>
      <c r="H11" s="23">
        <v>17000</v>
      </c>
      <c r="I11" s="22">
        <f>G11-H11</f>
        <v>483000</v>
      </c>
      <c r="J11" s="22" t="s">
        <v>16</v>
      </c>
      <c r="K11" s="24"/>
      <c r="L11" s="25"/>
    </row>
    <row r="12" spans="1:12" ht="15.75" x14ac:dyDescent="0.25">
      <c r="A12" s="20" t="s">
        <v>228</v>
      </c>
      <c r="B12" s="21" t="s">
        <v>1794</v>
      </c>
      <c r="C12" s="28" t="s">
        <v>511</v>
      </c>
      <c r="D12" s="66" t="s">
        <v>18</v>
      </c>
      <c r="E12" s="40" t="s">
        <v>1795</v>
      </c>
      <c r="F12" s="22">
        <v>10730</v>
      </c>
      <c r="G12" s="42">
        <v>10000</v>
      </c>
      <c r="H12" s="23">
        <v>10730</v>
      </c>
      <c r="I12" s="22">
        <f>G12-H12</f>
        <v>-730</v>
      </c>
      <c r="J12" s="22" t="s">
        <v>24</v>
      </c>
      <c r="K12" s="24"/>
      <c r="L12" s="25"/>
    </row>
    <row r="13" spans="1:12" ht="15.75" x14ac:dyDescent="0.25">
      <c r="A13" s="20" t="s">
        <v>17</v>
      </c>
      <c r="B13" s="21" t="s">
        <v>1796</v>
      </c>
      <c r="C13" s="28" t="s">
        <v>1330</v>
      </c>
      <c r="D13" s="66" t="s">
        <v>432</v>
      </c>
      <c r="E13" s="40" t="s">
        <v>458</v>
      </c>
      <c r="F13" s="22">
        <v>6389</v>
      </c>
      <c r="G13" s="42">
        <v>25000</v>
      </c>
      <c r="H13" s="23">
        <v>6389</v>
      </c>
      <c r="I13" s="22">
        <f>G13-H13</f>
        <v>18611</v>
      </c>
      <c r="J13" s="22" t="s">
        <v>16</v>
      </c>
      <c r="K13" s="24"/>
      <c r="L13" s="25"/>
    </row>
    <row r="14" spans="1:12" ht="15.75" x14ac:dyDescent="0.25">
      <c r="A14" s="20" t="s">
        <v>14</v>
      </c>
      <c r="B14" s="21" t="s">
        <v>1797</v>
      </c>
      <c r="C14" s="28" t="s">
        <v>32</v>
      </c>
      <c r="D14" s="66" t="s">
        <v>18</v>
      </c>
      <c r="E14" s="40" t="s">
        <v>1622</v>
      </c>
      <c r="F14" s="22">
        <v>1600</v>
      </c>
      <c r="G14" s="42">
        <v>5000</v>
      </c>
      <c r="H14" s="23">
        <v>1600</v>
      </c>
      <c r="I14" s="22">
        <f>G14-H14</f>
        <v>3400</v>
      </c>
      <c r="J14" s="22" t="s">
        <v>16</v>
      </c>
      <c r="K14" s="24"/>
      <c r="L14" s="25"/>
    </row>
    <row r="15" spans="1:12" ht="15.75" x14ac:dyDescent="0.25">
      <c r="A15" s="20" t="s">
        <v>40</v>
      </c>
      <c r="B15" s="21" t="s">
        <v>1743</v>
      </c>
      <c r="C15" s="28" t="s">
        <v>15</v>
      </c>
      <c r="D15" s="66" t="s">
        <v>68</v>
      </c>
      <c r="E15" s="40" t="s">
        <v>69</v>
      </c>
      <c r="F15" s="22">
        <v>50000</v>
      </c>
      <c r="G15" s="42">
        <v>2000000</v>
      </c>
      <c r="H15" s="23">
        <v>50000</v>
      </c>
      <c r="I15" s="22">
        <f t="shared" si="0"/>
        <v>1950000</v>
      </c>
      <c r="J15" s="22" t="s">
        <v>16</v>
      </c>
      <c r="K15" s="24"/>
      <c r="L15" s="25"/>
    </row>
    <row r="16" spans="1:12" ht="15.75" x14ac:dyDescent="0.25">
      <c r="A16" s="20" t="s">
        <v>21</v>
      </c>
      <c r="B16" s="21" t="s">
        <v>1788</v>
      </c>
      <c r="C16" s="28" t="s">
        <v>1789</v>
      </c>
      <c r="D16" s="66" t="s">
        <v>360</v>
      </c>
      <c r="E16" s="40" t="s">
        <v>1790</v>
      </c>
      <c r="F16" s="22">
        <v>30930</v>
      </c>
      <c r="G16" s="22">
        <v>25000</v>
      </c>
      <c r="H16" s="23">
        <v>30930</v>
      </c>
      <c r="I16" s="22">
        <f t="shared" si="0"/>
        <v>-5930</v>
      </c>
      <c r="J16" s="22" t="s">
        <v>24</v>
      </c>
      <c r="K16" s="24"/>
      <c r="L16" s="25"/>
    </row>
    <row r="17" spans="1:12" ht="15.75" x14ac:dyDescent="0.25">
      <c r="A17" s="20" t="s">
        <v>228</v>
      </c>
      <c r="B17" s="21" t="s">
        <v>1777</v>
      </c>
      <c r="C17" s="28" t="s">
        <v>210</v>
      </c>
      <c r="D17" s="66" t="s">
        <v>18</v>
      </c>
      <c r="E17" s="40" t="s">
        <v>427</v>
      </c>
      <c r="F17" s="22">
        <v>21000</v>
      </c>
      <c r="G17" s="22">
        <v>300000</v>
      </c>
      <c r="H17" s="23">
        <v>67300</v>
      </c>
      <c r="I17" s="22">
        <f t="shared" si="0"/>
        <v>232700</v>
      </c>
      <c r="J17" s="22" t="s">
        <v>16</v>
      </c>
      <c r="K17" s="24"/>
      <c r="L17" s="25"/>
    </row>
    <row r="18" spans="1:12" ht="15.75" x14ac:dyDescent="0.25">
      <c r="A18" s="20" t="s">
        <v>569</v>
      </c>
      <c r="B18" s="21" t="s">
        <v>1259</v>
      </c>
      <c r="C18" s="28" t="s">
        <v>151</v>
      </c>
      <c r="D18" s="66" t="s">
        <v>680</v>
      </c>
      <c r="E18" s="40" t="s">
        <v>1260</v>
      </c>
      <c r="F18" s="22">
        <v>1128.5999999999999</v>
      </c>
      <c r="G18" s="22">
        <v>30000</v>
      </c>
      <c r="H18" s="23">
        <f>13190.3+1128.6</f>
        <v>14318.9</v>
      </c>
      <c r="I18" s="22">
        <f t="shared" si="0"/>
        <v>15681.1</v>
      </c>
      <c r="J18" s="22" t="s">
        <v>16</v>
      </c>
      <c r="K18" s="24"/>
      <c r="L18" s="25"/>
    </row>
    <row r="19" spans="1:12" ht="15.75" x14ac:dyDescent="0.25">
      <c r="A19" s="20" t="s">
        <v>228</v>
      </c>
      <c r="B19" s="21" t="s">
        <v>1430</v>
      </c>
      <c r="C19" s="28" t="s">
        <v>833</v>
      </c>
      <c r="D19" s="66" t="s">
        <v>1784</v>
      </c>
      <c r="E19" s="40" t="s">
        <v>834</v>
      </c>
      <c r="F19" s="22">
        <v>3000</v>
      </c>
      <c r="G19" s="42">
        <v>60000</v>
      </c>
      <c r="H19" s="23">
        <v>45500</v>
      </c>
      <c r="I19" s="22">
        <f t="shared" si="0"/>
        <v>14500</v>
      </c>
      <c r="J19" s="22" t="s">
        <v>16</v>
      </c>
      <c r="K19" s="24"/>
      <c r="L19" s="25"/>
    </row>
    <row r="20" spans="1:12" ht="15.75" x14ac:dyDescent="0.25">
      <c r="A20" s="20" t="s">
        <v>17</v>
      </c>
      <c r="B20" s="21" t="s">
        <v>1785</v>
      </c>
      <c r="C20" s="28" t="s">
        <v>1786</v>
      </c>
      <c r="D20" s="66" t="s">
        <v>1099</v>
      </c>
      <c r="E20" s="40" t="s">
        <v>1787</v>
      </c>
      <c r="F20" s="22">
        <v>1200</v>
      </c>
      <c r="G20" s="22">
        <v>2500</v>
      </c>
      <c r="H20" s="23">
        <v>1200</v>
      </c>
      <c r="I20" s="22">
        <f>G20-H20</f>
        <v>1300</v>
      </c>
      <c r="J20" s="22" t="s">
        <v>16</v>
      </c>
      <c r="K20" s="24"/>
      <c r="L20" s="25"/>
    </row>
    <row r="21" spans="1:12" ht="16.5" thickBot="1" x14ac:dyDescent="0.3">
      <c r="A21" s="43"/>
      <c r="B21" s="44"/>
      <c r="C21" s="45"/>
      <c r="D21" s="67"/>
      <c r="E21" s="47"/>
      <c r="F21" s="48"/>
      <c r="G21" s="62"/>
      <c r="H21" s="49"/>
      <c r="I21" s="48"/>
      <c r="J21" s="48"/>
      <c r="K21" s="50"/>
      <c r="L21" s="51"/>
    </row>
    <row r="22" spans="1:12" ht="16.5" thickBot="1" x14ac:dyDescent="0.3">
      <c r="A22" s="71"/>
      <c r="B22" s="72"/>
      <c r="C22" s="73"/>
      <c r="D22" s="74"/>
      <c r="E22" s="75"/>
      <c r="F22" s="76"/>
      <c r="G22" s="76"/>
      <c r="H22" s="77"/>
      <c r="I22" s="76"/>
      <c r="J22" s="76"/>
      <c r="K22" s="78"/>
      <c r="L22" s="79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2:L20"/>
  <sheetViews>
    <sheetView workbookViewId="0">
      <pane xSplit="3" topLeftCell="E1" activePane="topRight" state="frozen"/>
      <selection pane="topRight" activeCell="A16" sqref="A16:XFD1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1798</v>
      </c>
      <c r="C4" s="26" t="s">
        <v>350</v>
      </c>
      <c r="D4" s="65" t="s">
        <v>1286</v>
      </c>
      <c r="E4" s="39" t="s">
        <v>351</v>
      </c>
      <c r="F4" s="16">
        <f>60.3+171.5</f>
        <v>231.8</v>
      </c>
      <c r="G4" s="16">
        <v>500</v>
      </c>
      <c r="H4" s="17">
        <v>422.5</v>
      </c>
      <c r="I4" s="16">
        <f>G4-H4</f>
        <v>77.5</v>
      </c>
      <c r="J4" s="16" t="s">
        <v>16</v>
      </c>
      <c r="K4" s="18"/>
      <c r="L4" s="19"/>
    </row>
    <row r="5" spans="1:12" ht="18.75" customHeight="1" x14ac:dyDescent="0.25">
      <c r="A5" s="20" t="s">
        <v>19</v>
      </c>
      <c r="B5" s="21" t="s">
        <v>1791</v>
      </c>
      <c r="C5" s="28" t="s">
        <v>1646</v>
      </c>
      <c r="D5" s="66" t="s">
        <v>18</v>
      </c>
      <c r="E5" s="40" t="s">
        <v>1792</v>
      </c>
      <c r="F5" s="22">
        <v>15500</v>
      </c>
      <c r="G5" s="22">
        <v>46000</v>
      </c>
      <c r="H5" s="23">
        <f>34000+15500</f>
        <v>49500</v>
      </c>
      <c r="I5" s="22">
        <f>G5-H5</f>
        <v>-3500</v>
      </c>
      <c r="J5" s="22" t="s">
        <v>24</v>
      </c>
      <c r="K5" s="24"/>
      <c r="L5" s="25"/>
    </row>
    <row r="6" spans="1:12" ht="15.75" x14ac:dyDescent="0.25">
      <c r="A6" s="20" t="s">
        <v>19</v>
      </c>
      <c r="B6" s="21" t="s">
        <v>1799</v>
      </c>
      <c r="C6" s="28" t="s">
        <v>15</v>
      </c>
      <c r="D6" s="66" t="s">
        <v>18</v>
      </c>
      <c r="E6" s="40" t="s">
        <v>723</v>
      </c>
      <c r="F6" s="22">
        <v>7500</v>
      </c>
      <c r="G6" s="42">
        <v>7000</v>
      </c>
      <c r="H6" s="23">
        <v>7500</v>
      </c>
      <c r="I6" s="22">
        <f t="shared" ref="I6:I17" si="0">G6-H6</f>
        <v>-500</v>
      </c>
      <c r="J6" s="22" t="s">
        <v>24</v>
      </c>
      <c r="K6" s="24"/>
      <c r="L6" s="25"/>
    </row>
    <row r="7" spans="1:12" ht="15.75" x14ac:dyDescent="0.25">
      <c r="A7" s="20" t="s">
        <v>30</v>
      </c>
      <c r="B7" s="21" t="s">
        <v>1800</v>
      </c>
      <c r="C7" s="28" t="s">
        <v>1801</v>
      </c>
      <c r="D7" s="29" t="s">
        <v>48</v>
      </c>
      <c r="E7" s="40" t="s">
        <v>1215</v>
      </c>
      <c r="F7" s="22">
        <v>20000</v>
      </c>
      <c r="G7" s="22">
        <v>100000</v>
      </c>
      <c r="H7" s="23">
        <v>20000</v>
      </c>
      <c r="I7" s="22">
        <f t="shared" si="0"/>
        <v>80000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1802</v>
      </c>
      <c r="C8" s="28" t="s">
        <v>15</v>
      </c>
      <c r="D8" s="66" t="s">
        <v>1803</v>
      </c>
      <c r="E8" s="40" t="s">
        <v>112</v>
      </c>
      <c r="F8" s="22">
        <v>1000</v>
      </c>
      <c r="G8" s="42">
        <v>75200</v>
      </c>
      <c r="H8" s="23">
        <v>1000</v>
      </c>
      <c r="I8" s="22">
        <f t="shared" si="0"/>
        <v>74200</v>
      </c>
      <c r="J8" s="22" t="s">
        <v>16</v>
      </c>
      <c r="K8" s="24"/>
      <c r="L8" s="25"/>
    </row>
    <row r="9" spans="1:12" ht="15.75" x14ac:dyDescent="0.25">
      <c r="A9" s="20" t="s">
        <v>21</v>
      </c>
      <c r="B9" s="21">
        <v>22.08</v>
      </c>
      <c r="C9" s="28" t="s">
        <v>1227</v>
      </c>
      <c r="D9" s="66" t="s">
        <v>1758</v>
      </c>
      <c r="E9" s="40" t="s">
        <v>491</v>
      </c>
      <c r="F9" s="22">
        <v>35710</v>
      </c>
      <c r="G9" s="42">
        <v>120000</v>
      </c>
      <c r="H9" s="23">
        <f>12000+72000+1500+35710</f>
        <v>121210</v>
      </c>
      <c r="I9" s="22">
        <f t="shared" si="0"/>
        <v>-1210</v>
      </c>
      <c r="J9" s="22" t="s">
        <v>24</v>
      </c>
      <c r="K9" s="24"/>
      <c r="L9" s="25"/>
    </row>
    <row r="10" spans="1:12" ht="15.75" x14ac:dyDescent="0.25">
      <c r="A10" s="20" t="s">
        <v>21</v>
      </c>
      <c r="B10" s="21" t="s">
        <v>1703</v>
      </c>
      <c r="C10" s="28" t="s">
        <v>34</v>
      </c>
      <c r="D10" s="66" t="s">
        <v>18</v>
      </c>
      <c r="E10" s="40" t="s">
        <v>1804</v>
      </c>
      <c r="F10" s="22">
        <v>8000</v>
      </c>
      <c r="G10" s="42">
        <v>200000</v>
      </c>
      <c r="H10" s="23">
        <v>81970</v>
      </c>
      <c r="I10" s="22">
        <f>G10-H10</f>
        <v>118030</v>
      </c>
      <c r="J10" s="22" t="s">
        <v>16</v>
      </c>
      <c r="K10" s="24"/>
      <c r="L10" s="25"/>
    </row>
    <row r="11" spans="1:12" ht="15.75" x14ac:dyDescent="0.25">
      <c r="A11" s="20" t="s">
        <v>44</v>
      </c>
      <c r="B11" s="21" t="s">
        <v>1793</v>
      </c>
      <c r="C11" s="28" t="s">
        <v>15</v>
      </c>
      <c r="D11" s="66" t="s">
        <v>1613</v>
      </c>
      <c r="E11" s="40" t="s">
        <v>45</v>
      </c>
      <c r="F11" s="22">
        <v>47000</v>
      </c>
      <c r="G11" s="42">
        <v>500000</v>
      </c>
      <c r="H11" s="23">
        <f>17000+47000</f>
        <v>64000</v>
      </c>
      <c r="I11" s="22">
        <f>G11-H11</f>
        <v>436000</v>
      </c>
      <c r="J11" s="22" t="s">
        <v>16</v>
      </c>
      <c r="K11" s="24"/>
      <c r="L11" s="25"/>
    </row>
    <row r="12" spans="1:12" ht="15.75" x14ac:dyDescent="0.25">
      <c r="A12" s="20" t="s">
        <v>22</v>
      </c>
      <c r="B12" s="21" t="s">
        <v>1717</v>
      </c>
      <c r="C12" s="28" t="s">
        <v>1805</v>
      </c>
      <c r="D12" s="66" t="s">
        <v>1454</v>
      </c>
      <c r="E12" s="40" t="s">
        <v>46</v>
      </c>
      <c r="F12" s="22">
        <v>100.3</v>
      </c>
      <c r="G12" s="42">
        <v>100</v>
      </c>
      <c r="H12" s="23">
        <v>100.3</v>
      </c>
      <c r="I12" s="22">
        <f>G12-H12</f>
        <v>-0.29999999999999716</v>
      </c>
      <c r="J12" s="22" t="s">
        <v>24</v>
      </c>
      <c r="K12" s="24"/>
      <c r="L12" s="25"/>
    </row>
    <row r="13" spans="1:12" ht="15.75" x14ac:dyDescent="0.25">
      <c r="A13" s="20" t="s">
        <v>17</v>
      </c>
      <c r="B13" s="21" t="s">
        <v>1796</v>
      </c>
      <c r="C13" s="28" t="s">
        <v>1330</v>
      </c>
      <c r="D13" s="66" t="s">
        <v>432</v>
      </c>
      <c r="E13" s="40" t="s">
        <v>458</v>
      </c>
      <c r="F13" s="22">
        <v>5500</v>
      </c>
      <c r="G13" s="42">
        <v>25000</v>
      </c>
      <c r="H13" s="23">
        <f>6389+5500</f>
        <v>11889</v>
      </c>
      <c r="I13" s="22">
        <f>G13-H13</f>
        <v>13111</v>
      </c>
      <c r="J13" s="22" t="s">
        <v>16</v>
      </c>
      <c r="K13" s="24"/>
      <c r="L13" s="25"/>
    </row>
    <row r="14" spans="1:12" ht="15.75" x14ac:dyDescent="0.25">
      <c r="A14" s="20" t="s">
        <v>14</v>
      </c>
      <c r="B14" s="21" t="s">
        <v>1797</v>
      </c>
      <c r="C14" s="28" t="s">
        <v>32</v>
      </c>
      <c r="D14" s="66" t="s">
        <v>18</v>
      </c>
      <c r="E14" s="40" t="s">
        <v>1622</v>
      </c>
      <c r="F14" s="22">
        <f>3000+1600</f>
        <v>4600</v>
      </c>
      <c r="G14" s="42">
        <v>5000</v>
      </c>
      <c r="H14" s="23">
        <f>1600+3000+1600</f>
        <v>6200</v>
      </c>
      <c r="I14" s="22">
        <f>G14-H14</f>
        <v>-1200</v>
      </c>
      <c r="J14" s="22" t="s">
        <v>24</v>
      </c>
      <c r="K14" s="24"/>
      <c r="L14" s="25"/>
    </row>
    <row r="15" spans="1:12" ht="15.75" x14ac:dyDescent="0.25">
      <c r="A15" s="20" t="s">
        <v>22</v>
      </c>
      <c r="B15" s="21" t="s">
        <v>1778</v>
      </c>
      <c r="C15" s="28" t="s">
        <v>1806</v>
      </c>
      <c r="D15" s="66" t="s">
        <v>93</v>
      </c>
      <c r="E15" s="40" t="s">
        <v>1780</v>
      </c>
      <c r="F15" s="22">
        <f>244.6</f>
        <v>244.6</v>
      </c>
      <c r="G15" s="42">
        <v>500</v>
      </c>
      <c r="H15" s="23">
        <v>555.9</v>
      </c>
      <c r="I15" s="22">
        <f t="shared" si="0"/>
        <v>-55.899999999999977</v>
      </c>
      <c r="J15" s="22" t="s">
        <v>24</v>
      </c>
      <c r="K15" s="24"/>
      <c r="L15" s="25"/>
    </row>
    <row r="16" spans="1:12" ht="15.75" x14ac:dyDescent="0.25">
      <c r="A16" s="20" t="s">
        <v>25</v>
      </c>
      <c r="B16" s="21" t="s">
        <v>1391</v>
      </c>
      <c r="C16" s="28" t="s">
        <v>1392</v>
      </c>
      <c r="D16" s="29" t="s">
        <v>551</v>
      </c>
      <c r="E16" s="40" t="s">
        <v>1393</v>
      </c>
      <c r="F16" s="22">
        <v>10475</v>
      </c>
      <c r="G16" s="22">
        <v>91584</v>
      </c>
      <c r="H16" s="23">
        <f>10350+10350+11055+10475</f>
        <v>42230</v>
      </c>
      <c r="I16" s="22">
        <f t="shared" si="0"/>
        <v>49354</v>
      </c>
      <c r="J16" s="22" t="s">
        <v>16</v>
      </c>
      <c r="K16" s="24"/>
      <c r="L16" s="25"/>
    </row>
    <row r="17" spans="1:12" ht="15.75" x14ac:dyDescent="0.25">
      <c r="A17" s="20" t="s">
        <v>228</v>
      </c>
      <c r="B17" s="21" t="s">
        <v>1430</v>
      </c>
      <c r="C17" s="28" t="s">
        <v>833</v>
      </c>
      <c r="D17" s="66" t="s">
        <v>1784</v>
      </c>
      <c r="E17" s="40" t="s">
        <v>834</v>
      </c>
      <c r="F17" s="22">
        <v>27500</v>
      </c>
      <c r="G17" s="42">
        <v>60000</v>
      </c>
      <c r="H17" s="23">
        <f>45500+27500</f>
        <v>73000</v>
      </c>
      <c r="I17" s="22">
        <f t="shared" si="0"/>
        <v>-13000</v>
      </c>
      <c r="J17" s="22" t="s">
        <v>24</v>
      </c>
      <c r="K17" s="24"/>
      <c r="L17" s="25"/>
    </row>
    <row r="18" spans="1:12" ht="15.75" x14ac:dyDescent="0.25">
      <c r="A18" s="20" t="s">
        <v>17</v>
      </c>
      <c r="B18" s="21" t="s">
        <v>1785</v>
      </c>
      <c r="C18" s="28" t="s">
        <v>1786</v>
      </c>
      <c r="D18" s="66" t="s">
        <v>1099</v>
      </c>
      <c r="E18" s="40" t="s">
        <v>1787</v>
      </c>
      <c r="F18" s="22">
        <v>2700</v>
      </c>
      <c r="G18" s="22">
        <v>2500</v>
      </c>
      <c r="H18" s="23">
        <f>1200+2700</f>
        <v>3900</v>
      </c>
      <c r="I18" s="22">
        <f>G18-H18</f>
        <v>-1400</v>
      </c>
      <c r="J18" s="22" t="s">
        <v>24</v>
      </c>
      <c r="K18" s="24"/>
      <c r="L18" s="25"/>
    </row>
    <row r="19" spans="1:12" ht="16.5" thickBot="1" x14ac:dyDescent="0.3">
      <c r="A19" s="43"/>
      <c r="B19" s="44"/>
      <c r="C19" s="45"/>
      <c r="D19" s="67"/>
      <c r="E19" s="47"/>
      <c r="F19" s="48"/>
      <c r="G19" s="62"/>
      <c r="H19" s="49"/>
      <c r="I19" s="48"/>
      <c r="J19" s="48"/>
      <c r="K19" s="50"/>
      <c r="L19" s="51"/>
    </row>
    <row r="20" spans="1:12" ht="16.5" thickBot="1" x14ac:dyDescent="0.3">
      <c r="A20" s="71"/>
      <c r="B20" s="72"/>
      <c r="C20" s="73"/>
      <c r="D20" s="74"/>
      <c r="E20" s="75"/>
      <c r="F20" s="76"/>
      <c r="G20" s="76"/>
      <c r="H20" s="77"/>
      <c r="I20" s="76"/>
      <c r="J20" s="76"/>
      <c r="K20" s="78"/>
      <c r="L20" s="79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2:L24"/>
  <sheetViews>
    <sheetView workbookViewId="0">
      <pane xSplit="3" topLeftCell="F1" activePane="topRight" state="frozen"/>
      <selection pane="topRight" activeCell="A15" sqref="A15:XFD1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1634</v>
      </c>
      <c r="C4" s="26" t="s">
        <v>1217</v>
      </c>
      <c r="D4" s="65" t="s">
        <v>86</v>
      </c>
      <c r="E4" s="39" t="s">
        <v>38</v>
      </c>
      <c r="F4" s="16">
        <f>87.6+95.4</f>
        <v>183</v>
      </c>
      <c r="G4" s="16">
        <v>1000</v>
      </c>
      <c r="H4" s="17">
        <v>413.4</v>
      </c>
      <c r="I4" s="16">
        <f>G4-H4</f>
        <v>586.6</v>
      </c>
      <c r="J4" s="16" t="s">
        <v>16</v>
      </c>
      <c r="K4" s="18"/>
      <c r="L4" s="19"/>
    </row>
    <row r="5" spans="1:12" ht="18.75" customHeight="1" x14ac:dyDescent="0.25">
      <c r="A5" s="20" t="s">
        <v>22</v>
      </c>
      <c r="B5" s="21" t="s">
        <v>1633</v>
      </c>
      <c r="C5" s="28" t="s">
        <v>1217</v>
      </c>
      <c r="D5" s="66" t="s">
        <v>92</v>
      </c>
      <c r="E5" s="40" t="s">
        <v>38</v>
      </c>
      <c r="F5" s="22">
        <v>583</v>
      </c>
      <c r="G5" s="22">
        <v>1000</v>
      </c>
      <c r="H5" s="23">
        <v>5830</v>
      </c>
      <c r="I5" s="22">
        <f>G5-H5</f>
        <v>-4830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1628</v>
      </c>
      <c r="C6" s="28" t="s">
        <v>204</v>
      </c>
      <c r="D6" s="66" t="s">
        <v>1807</v>
      </c>
      <c r="E6" s="40" t="s">
        <v>206</v>
      </c>
      <c r="F6" s="22">
        <v>657.9</v>
      </c>
      <c r="G6" s="42">
        <v>3000</v>
      </c>
      <c r="H6" s="23">
        <v>657.9</v>
      </c>
      <c r="I6" s="22">
        <f t="shared" ref="I6:I21" si="0">G6-H6</f>
        <v>2342.1</v>
      </c>
      <c r="J6" s="22" t="s">
        <v>16</v>
      </c>
      <c r="K6" s="24"/>
      <c r="L6" s="25"/>
    </row>
    <row r="7" spans="1:12" ht="15.75" x14ac:dyDescent="0.25">
      <c r="A7" s="20" t="s">
        <v>30</v>
      </c>
      <c r="B7" s="21" t="s">
        <v>1800</v>
      </c>
      <c r="C7" s="28" t="s">
        <v>1801</v>
      </c>
      <c r="D7" s="29" t="s">
        <v>48</v>
      </c>
      <c r="E7" s="40" t="s">
        <v>1215</v>
      </c>
      <c r="F7" s="22">
        <v>1900</v>
      </c>
      <c r="G7" s="22">
        <v>100000</v>
      </c>
      <c r="H7" s="23">
        <f>20000+1900</f>
        <v>21900</v>
      </c>
      <c r="I7" s="22">
        <f t="shared" si="0"/>
        <v>78100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1732</v>
      </c>
      <c r="C8" s="28" t="s">
        <v>373</v>
      </c>
      <c r="D8" s="66" t="s">
        <v>1803</v>
      </c>
      <c r="E8" s="40" t="s">
        <v>184</v>
      </c>
      <c r="F8" s="22">
        <v>279.89999999999998</v>
      </c>
      <c r="G8" s="42">
        <v>2000</v>
      </c>
      <c r="H8" s="23">
        <v>279.89999999999998</v>
      </c>
      <c r="I8" s="22">
        <f t="shared" si="0"/>
        <v>1720.1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1742</v>
      </c>
      <c r="C9" s="28" t="s">
        <v>401</v>
      </c>
      <c r="D9" s="66" t="s">
        <v>18</v>
      </c>
      <c r="E9" s="40" t="s">
        <v>99</v>
      </c>
      <c r="F9" s="22">
        <v>1000</v>
      </c>
      <c r="G9" s="42">
        <v>15000</v>
      </c>
      <c r="H9" s="23">
        <v>15760</v>
      </c>
      <c r="I9" s="22">
        <f t="shared" si="0"/>
        <v>-760</v>
      </c>
      <c r="J9" s="22" t="s">
        <v>24</v>
      </c>
      <c r="K9" s="24"/>
      <c r="L9" s="25"/>
    </row>
    <row r="10" spans="1:12" ht="15.75" x14ac:dyDescent="0.25">
      <c r="A10" s="20" t="s">
        <v>21</v>
      </c>
      <c r="B10" s="21" t="s">
        <v>1703</v>
      </c>
      <c r="C10" s="28" t="s">
        <v>34</v>
      </c>
      <c r="D10" s="66" t="s">
        <v>18</v>
      </c>
      <c r="E10" s="40" t="s">
        <v>1804</v>
      </c>
      <c r="F10" s="22">
        <v>46000</v>
      </c>
      <c r="G10" s="42">
        <v>200000</v>
      </c>
      <c r="H10" s="23">
        <f>81970+46000</f>
        <v>127970</v>
      </c>
      <c r="I10" s="22">
        <f t="shared" ref="I10:I18" si="1">G10-H10</f>
        <v>72030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1808</v>
      </c>
      <c r="C11" s="28" t="s">
        <v>942</v>
      </c>
      <c r="D11" s="66" t="s">
        <v>18</v>
      </c>
      <c r="E11" s="40" t="s">
        <v>943</v>
      </c>
      <c r="F11" s="22">
        <v>1800</v>
      </c>
      <c r="G11" s="42">
        <v>5000</v>
      </c>
      <c r="H11" s="23">
        <v>1800</v>
      </c>
      <c r="I11" s="22">
        <f t="shared" si="1"/>
        <v>3200</v>
      </c>
      <c r="J11" s="22" t="s">
        <v>16</v>
      </c>
      <c r="K11" s="24"/>
      <c r="L11" s="25"/>
    </row>
    <row r="12" spans="1:12" ht="15.75" x14ac:dyDescent="0.25">
      <c r="A12" s="20" t="s">
        <v>30</v>
      </c>
      <c r="B12" s="21" t="s">
        <v>1809</v>
      </c>
      <c r="C12" s="28" t="s">
        <v>1332</v>
      </c>
      <c r="D12" s="66" t="s">
        <v>1810</v>
      </c>
      <c r="E12" s="40" t="s">
        <v>1333</v>
      </c>
      <c r="F12" s="22">
        <v>10000</v>
      </c>
      <c r="G12" s="42">
        <v>20000</v>
      </c>
      <c r="H12" s="23">
        <v>10000</v>
      </c>
      <c r="I12" s="22">
        <f t="shared" si="1"/>
        <v>10000</v>
      </c>
      <c r="J12" s="22" t="s">
        <v>16</v>
      </c>
      <c r="K12" s="24"/>
      <c r="L12" s="25"/>
    </row>
    <row r="13" spans="1:12" ht="15.75" x14ac:dyDescent="0.25">
      <c r="A13" s="20" t="s">
        <v>21</v>
      </c>
      <c r="B13" s="21" t="s">
        <v>1811</v>
      </c>
      <c r="C13" s="28" t="s">
        <v>1812</v>
      </c>
      <c r="D13" s="66" t="s">
        <v>407</v>
      </c>
      <c r="E13" s="40" t="s">
        <v>1813</v>
      </c>
      <c r="F13" s="22">
        <v>20000</v>
      </c>
      <c r="G13" s="42">
        <v>20000</v>
      </c>
      <c r="H13" s="23">
        <v>20000</v>
      </c>
      <c r="I13" s="22">
        <f t="shared" si="1"/>
        <v>0</v>
      </c>
      <c r="J13" s="22" t="s">
        <v>23</v>
      </c>
      <c r="K13" s="24"/>
      <c r="L13" s="25"/>
    </row>
    <row r="14" spans="1:12" ht="15.75" x14ac:dyDescent="0.25">
      <c r="A14" s="20" t="s">
        <v>17</v>
      </c>
      <c r="B14" s="21" t="s">
        <v>1796</v>
      </c>
      <c r="C14" s="28" t="s">
        <v>1330</v>
      </c>
      <c r="D14" s="66" t="s">
        <v>432</v>
      </c>
      <c r="E14" s="40" t="s">
        <v>458</v>
      </c>
      <c r="F14" s="22">
        <v>10343</v>
      </c>
      <c r="G14" s="42">
        <v>25000</v>
      </c>
      <c r="H14" s="23">
        <f>6389+5500+10343</f>
        <v>22232</v>
      </c>
      <c r="I14" s="22">
        <f t="shared" si="1"/>
        <v>2768</v>
      </c>
      <c r="J14" s="22" t="s">
        <v>16</v>
      </c>
      <c r="K14" s="24"/>
      <c r="L14" s="25"/>
    </row>
    <row r="15" spans="1:12" ht="15.75" x14ac:dyDescent="0.25">
      <c r="A15" s="20" t="s">
        <v>14</v>
      </c>
      <c r="B15" s="21" t="s">
        <v>1797</v>
      </c>
      <c r="C15" s="28" t="s">
        <v>32</v>
      </c>
      <c r="D15" s="66" t="s">
        <v>18</v>
      </c>
      <c r="E15" s="40" t="s">
        <v>1622</v>
      </c>
      <c r="F15" s="22">
        <f>3000+1600</f>
        <v>4600</v>
      </c>
      <c r="G15" s="42">
        <v>5000</v>
      </c>
      <c r="H15" s="23">
        <f>1600+3000+1600</f>
        <v>6200</v>
      </c>
      <c r="I15" s="22">
        <f t="shared" si="1"/>
        <v>-1200</v>
      </c>
      <c r="J15" s="22" t="s">
        <v>24</v>
      </c>
      <c r="K15" s="24"/>
      <c r="L15" s="25"/>
    </row>
    <row r="16" spans="1:12" ht="15.75" x14ac:dyDescent="0.25">
      <c r="A16" s="20" t="s">
        <v>14</v>
      </c>
      <c r="B16" s="21" t="s">
        <v>1815</v>
      </c>
      <c r="C16" s="28" t="s">
        <v>1816</v>
      </c>
      <c r="D16" s="66" t="s">
        <v>42</v>
      </c>
      <c r="E16" s="40" t="s">
        <v>955</v>
      </c>
      <c r="F16" s="22">
        <v>10650</v>
      </c>
      <c r="G16" s="42">
        <v>10000</v>
      </c>
      <c r="H16" s="23">
        <v>10650</v>
      </c>
      <c r="I16" s="22">
        <f t="shared" si="1"/>
        <v>-650</v>
      </c>
      <c r="J16" s="22" t="s">
        <v>24</v>
      </c>
      <c r="K16" s="24"/>
      <c r="L16" s="25"/>
    </row>
    <row r="17" spans="1:12" ht="15.75" x14ac:dyDescent="0.25">
      <c r="A17" s="20" t="s">
        <v>19</v>
      </c>
      <c r="B17" s="21" t="s">
        <v>1817</v>
      </c>
      <c r="C17" s="28" t="s">
        <v>15</v>
      </c>
      <c r="D17" s="66" t="s">
        <v>18</v>
      </c>
      <c r="E17" s="40" t="s">
        <v>202</v>
      </c>
      <c r="F17" s="22">
        <v>15000</v>
      </c>
      <c r="G17" s="42">
        <v>10000</v>
      </c>
      <c r="H17" s="23">
        <v>15000</v>
      </c>
      <c r="I17" s="22">
        <f t="shared" si="1"/>
        <v>-5000</v>
      </c>
      <c r="J17" s="22" t="s">
        <v>24</v>
      </c>
      <c r="K17" s="24"/>
      <c r="L17" s="25"/>
    </row>
    <row r="18" spans="1:12" ht="15.75" x14ac:dyDescent="0.25">
      <c r="A18" s="20" t="s">
        <v>569</v>
      </c>
      <c r="B18" s="21" t="s">
        <v>1259</v>
      </c>
      <c r="C18" s="28" t="s">
        <v>151</v>
      </c>
      <c r="D18" s="66" t="s">
        <v>240</v>
      </c>
      <c r="E18" s="40" t="s">
        <v>1260</v>
      </c>
      <c r="F18" s="22">
        <v>1045.8499999999999</v>
      </c>
      <c r="G18" s="42">
        <v>30000</v>
      </c>
      <c r="H18" s="23">
        <v>15457.95</v>
      </c>
      <c r="I18" s="22">
        <f t="shared" si="1"/>
        <v>14542.05</v>
      </c>
      <c r="J18" s="22" t="s">
        <v>16</v>
      </c>
      <c r="K18" s="24"/>
      <c r="L18" s="25"/>
    </row>
    <row r="19" spans="1:12" ht="15.75" x14ac:dyDescent="0.25">
      <c r="A19" s="20" t="s">
        <v>14</v>
      </c>
      <c r="B19" s="21" t="s">
        <v>1814</v>
      </c>
      <c r="C19" s="28" t="s">
        <v>15</v>
      </c>
      <c r="D19" s="66" t="s">
        <v>381</v>
      </c>
      <c r="E19" s="40" t="s">
        <v>1615</v>
      </c>
      <c r="F19" s="22">
        <v>3500</v>
      </c>
      <c r="G19" s="42">
        <v>5000</v>
      </c>
      <c r="H19" s="23">
        <v>3500</v>
      </c>
      <c r="I19" s="22">
        <f t="shared" si="0"/>
        <v>1500</v>
      </c>
      <c r="J19" s="22" t="s">
        <v>16</v>
      </c>
      <c r="K19" s="24"/>
      <c r="L19" s="25"/>
    </row>
    <row r="20" spans="1:12" ht="15.75" x14ac:dyDescent="0.25">
      <c r="A20" s="20" t="s">
        <v>346</v>
      </c>
      <c r="B20" s="21" t="s">
        <v>1821</v>
      </c>
      <c r="C20" s="28" t="s">
        <v>1819</v>
      </c>
      <c r="D20" s="66" t="s">
        <v>1822</v>
      </c>
      <c r="E20" s="40" t="s">
        <v>46</v>
      </c>
      <c r="F20" s="22">
        <v>59.3</v>
      </c>
      <c r="G20" s="22">
        <v>50</v>
      </c>
      <c r="H20" s="23">
        <v>59.3</v>
      </c>
      <c r="I20" s="22">
        <f t="shared" si="0"/>
        <v>-9.2999999999999972</v>
      </c>
      <c r="J20" s="22" t="s">
        <v>24</v>
      </c>
      <c r="K20" s="24"/>
      <c r="L20" s="25"/>
    </row>
    <row r="21" spans="1:12" ht="15.75" x14ac:dyDescent="0.25">
      <c r="A21" s="20" t="s">
        <v>228</v>
      </c>
      <c r="B21" s="21" t="s">
        <v>1430</v>
      </c>
      <c r="C21" s="28" t="s">
        <v>833</v>
      </c>
      <c r="D21" s="66" t="s">
        <v>1784</v>
      </c>
      <c r="E21" s="40" t="s">
        <v>834</v>
      </c>
      <c r="F21" s="22">
        <v>14000</v>
      </c>
      <c r="G21" s="42">
        <v>60000</v>
      </c>
      <c r="H21" s="23">
        <f>45500+27500+14000</f>
        <v>87000</v>
      </c>
      <c r="I21" s="22">
        <f t="shared" si="0"/>
        <v>-27000</v>
      </c>
      <c r="J21" s="22" t="s">
        <v>24</v>
      </c>
      <c r="K21" s="24"/>
      <c r="L21" s="25"/>
    </row>
    <row r="22" spans="1:12" ht="15.75" x14ac:dyDescent="0.25">
      <c r="A22" s="20" t="s">
        <v>346</v>
      </c>
      <c r="B22" s="21" t="s">
        <v>1818</v>
      </c>
      <c r="C22" s="28" t="s">
        <v>1819</v>
      </c>
      <c r="D22" s="66" t="s">
        <v>1820</v>
      </c>
      <c r="E22" s="40" t="s">
        <v>46</v>
      </c>
      <c r="F22" s="22">
        <v>70.2</v>
      </c>
      <c r="G22" s="22">
        <v>50</v>
      </c>
      <c r="H22" s="23">
        <v>70.2</v>
      </c>
      <c r="I22" s="22">
        <f>G22-H22</f>
        <v>-20.200000000000003</v>
      </c>
      <c r="J22" s="22" t="s">
        <v>24</v>
      </c>
      <c r="K22" s="24"/>
      <c r="L22" s="25"/>
    </row>
    <row r="23" spans="1:12" ht="16.5" thickBot="1" x14ac:dyDescent="0.3">
      <c r="A23" s="43"/>
      <c r="B23" s="44"/>
      <c r="C23" s="45"/>
      <c r="D23" s="67"/>
      <c r="E23" s="47"/>
      <c r="F23" s="48"/>
      <c r="G23" s="62"/>
      <c r="H23" s="49"/>
      <c r="I23" s="48"/>
      <c r="J23" s="48"/>
      <c r="K23" s="50"/>
      <c r="L23" s="51"/>
    </row>
    <row r="24" spans="1:12" ht="16.5" thickBot="1" x14ac:dyDescent="0.3">
      <c r="A24" s="71"/>
      <c r="B24" s="72"/>
      <c r="C24" s="73"/>
      <c r="D24" s="74"/>
      <c r="E24" s="75"/>
      <c r="F24" s="76"/>
      <c r="G24" s="76"/>
      <c r="H24" s="77"/>
      <c r="I24" s="76"/>
      <c r="J24" s="76"/>
      <c r="K24" s="78"/>
      <c r="L24" s="79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2:L23"/>
  <sheetViews>
    <sheetView workbookViewId="0">
      <pane xSplit="3" topLeftCell="F1" activePane="topRight" state="frozen"/>
      <selection pane="topRight" activeCell="C18" sqref="C18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22</v>
      </c>
      <c r="B4" s="15" t="s">
        <v>1824</v>
      </c>
      <c r="C4" s="26" t="s">
        <v>1825</v>
      </c>
      <c r="D4" s="65" t="s">
        <v>84</v>
      </c>
      <c r="E4" s="39" t="s">
        <v>282</v>
      </c>
      <c r="F4" s="16">
        <v>120.4</v>
      </c>
      <c r="G4" s="16">
        <v>100</v>
      </c>
      <c r="H4" s="17">
        <v>120.4</v>
      </c>
      <c r="I4" s="16">
        <f>G4-H4</f>
        <v>-20.400000000000006</v>
      </c>
      <c r="J4" s="16" t="s">
        <v>24</v>
      </c>
      <c r="K4" s="18"/>
      <c r="L4" s="19"/>
    </row>
    <row r="5" spans="1:12" ht="15.75" x14ac:dyDescent="0.25">
      <c r="A5" s="20" t="s">
        <v>44</v>
      </c>
      <c r="B5" s="21" t="s">
        <v>1793</v>
      </c>
      <c r="C5" s="28" t="s">
        <v>15</v>
      </c>
      <c r="D5" s="66" t="s">
        <v>1613</v>
      </c>
      <c r="E5" s="40" t="s">
        <v>45</v>
      </c>
      <c r="F5" s="22">
        <v>15000</v>
      </c>
      <c r="G5" s="42">
        <v>500000</v>
      </c>
      <c r="H5" s="23">
        <f>17000+47000+15000</f>
        <v>79000</v>
      </c>
      <c r="I5" s="22">
        <f>G5-H5</f>
        <v>421000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1628</v>
      </c>
      <c r="C6" s="28" t="s">
        <v>204</v>
      </c>
      <c r="D6" s="66" t="s">
        <v>1807</v>
      </c>
      <c r="E6" s="40" t="s">
        <v>206</v>
      </c>
      <c r="F6" s="22">
        <v>331.7</v>
      </c>
      <c r="G6" s="42">
        <v>3000</v>
      </c>
      <c r="H6" s="23">
        <f>657.9+331.7</f>
        <v>989.59999999999991</v>
      </c>
      <c r="I6" s="22">
        <f t="shared" ref="I6:I19" si="0">G6-H6</f>
        <v>2010.4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1785</v>
      </c>
      <c r="C7" s="28" t="s">
        <v>1786</v>
      </c>
      <c r="D7" s="66" t="s">
        <v>1099</v>
      </c>
      <c r="E7" s="40" t="s">
        <v>1787</v>
      </c>
      <c r="F7" s="22">
        <v>2590</v>
      </c>
      <c r="G7" s="22">
        <v>2500</v>
      </c>
      <c r="H7" s="23">
        <v>2590</v>
      </c>
      <c r="I7" s="22">
        <f>G7-H7</f>
        <v>-90</v>
      </c>
      <c r="J7" s="22" t="s">
        <v>24</v>
      </c>
      <c r="K7" s="24"/>
      <c r="L7" s="25"/>
    </row>
    <row r="8" spans="1:12" ht="15.75" x14ac:dyDescent="0.25">
      <c r="A8" s="20" t="s">
        <v>228</v>
      </c>
      <c r="B8" s="21" t="s">
        <v>1732</v>
      </c>
      <c r="C8" s="28" t="s">
        <v>373</v>
      </c>
      <c r="D8" s="66" t="s">
        <v>1803</v>
      </c>
      <c r="E8" s="40" t="s">
        <v>184</v>
      </c>
      <c r="F8" s="22">
        <f>160+30.4</f>
        <v>190.4</v>
      </c>
      <c r="G8" s="42">
        <v>2000</v>
      </c>
      <c r="H8" s="23">
        <f>279.9+190.4</f>
        <v>470.29999999999995</v>
      </c>
      <c r="I8" s="22">
        <f t="shared" si="0"/>
        <v>1529.7</v>
      </c>
      <c r="J8" s="22" t="s">
        <v>16</v>
      </c>
      <c r="K8" s="24"/>
      <c r="L8" s="25"/>
    </row>
    <row r="9" spans="1:12" ht="15.75" x14ac:dyDescent="0.25">
      <c r="A9" s="20" t="s">
        <v>228</v>
      </c>
      <c r="B9" s="21" t="s">
        <v>1826</v>
      </c>
      <c r="C9" s="28" t="s">
        <v>1827</v>
      </c>
      <c r="D9" s="66" t="s">
        <v>364</v>
      </c>
      <c r="E9" s="40" t="s">
        <v>365</v>
      </c>
      <c r="F9" s="22">
        <f>8000+1500</f>
        <v>9500</v>
      </c>
      <c r="G9" s="42">
        <v>10000</v>
      </c>
      <c r="H9" s="23">
        <v>9500</v>
      </c>
      <c r="I9" s="22">
        <f t="shared" si="0"/>
        <v>500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1703</v>
      </c>
      <c r="C10" s="28" t="s">
        <v>34</v>
      </c>
      <c r="D10" s="66" t="s">
        <v>18</v>
      </c>
      <c r="E10" s="40" t="s">
        <v>1804</v>
      </c>
      <c r="F10" s="22">
        <v>22000</v>
      </c>
      <c r="G10" s="42">
        <v>200000</v>
      </c>
      <c r="H10" s="23">
        <f>81970+46000+22000</f>
        <v>149970</v>
      </c>
      <c r="I10" s="22">
        <f t="shared" ref="I10:I18" si="1">G10-H10</f>
        <v>50030</v>
      </c>
      <c r="J10" s="22" t="s">
        <v>16</v>
      </c>
      <c r="K10" s="24"/>
      <c r="L10" s="25"/>
    </row>
    <row r="11" spans="1:12" ht="15.75" x14ac:dyDescent="0.25">
      <c r="A11" s="20" t="s">
        <v>17</v>
      </c>
      <c r="B11" s="21" t="s">
        <v>1808</v>
      </c>
      <c r="C11" s="28" t="s">
        <v>942</v>
      </c>
      <c r="D11" s="66" t="s">
        <v>18</v>
      </c>
      <c r="E11" s="40" t="s">
        <v>943</v>
      </c>
      <c r="F11" s="22">
        <v>1850</v>
      </c>
      <c r="G11" s="42">
        <v>5000</v>
      </c>
      <c r="H11" s="23">
        <f>1800+1850</f>
        <v>3650</v>
      </c>
      <c r="I11" s="22">
        <f t="shared" si="1"/>
        <v>1350</v>
      </c>
      <c r="J11" s="22" t="s">
        <v>16</v>
      </c>
      <c r="K11" s="24"/>
      <c r="L11" s="25"/>
    </row>
    <row r="12" spans="1:12" ht="15.75" x14ac:dyDescent="0.25">
      <c r="A12" s="20" t="s">
        <v>30</v>
      </c>
      <c r="B12" s="21" t="s">
        <v>1809</v>
      </c>
      <c r="C12" s="28" t="s">
        <v>1332</v>
      </c>
      <c r="D12" s="66" t="s">
        <v>1810</v>
      </c>
      <c r="E12" s="40" t="s">
        <v>1333</v>
      </c>
      <c r="F12" s="22">
        <v>34220</v>
      </c>
      <c r="G12" s="42">
        <v>20000</v>
      </c>
      <c r="H12" s="23">
        <v>34220</v>
      </c>
      <c r="I12" s="22">
        <f t="shared" si="1"/>
        <v>-14220</v>
      </c>
      <c r="J12" s="22" t="s">
        <v>24</v>
      </c>
      <c r="K12" s="24"/>
      <c r="L12" s="25"/>
    </row>
    <row r="13" spans="1:12" ht="15.75" x14ac:dyDescent="0.25">
      <c r="A13" s="20" t="s">
        <v>51</v>
      </c>
      <c r="B13" s="21" t="s">
        <v>1828</v>
      </c>
      <c r="C13" s="28" t="s">
        <v>1125</v>
      </c>
      <c r="D13" s="66" t="s">
        <v>1829</v>
      </c>
      <c r="E13" s="40" t="s">
        <v>657</v>
      </c>
      <c r="F13" s="22">
        <v>352</v>
      </c>
      <c r="G13" s="42">
        <v>600</v>
      </c>
      <c r="H13" s="23">
        <v>352</v>
      </c>
      <c r="I13" s="22">
        <f t="shared" si="1"/>
        <v>248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1777</v>
      </c>
      <c r="C14" s="28" t="s">
        <v>210</v>
      </c>
      <c r="D14" s="66" t="s">
        <v>18</v>
      </c>
      <c r="E14" s="40" t="s">
        <v>427</v>
      </c>
      <c r="F14" s="22">
        <v>45000</v>
      </c>
      <c r="G14" s="42">
        <v>300000</v>
      </c>
      <c r="H14" s="23">
        <v>45000</v>
      </c>
      <c r="I14" s="22">
        <f t="shared" si="1"/>
        <v>255000</v>
      </c>
      <c r="J14" s="22" t="s">
        <v>16</v>
      </c>
      <c r="K14" s="24"/>
      <c r="L14" s="25"/>
    </row>
    <row r="15" spans="1:12" ht="15.75" x14ac:dyDescent="0.25">
      <c r="A15" s="20" t="s">
        <v>346</v>
      </c>
      <c r="B15" s="21" t="s">
        <v>1830</v>
      </c>
      <c r="C15" s="28" t="s">
        <v>15</v>
      </c>
      <c r="D15" s="66" t="s">
        <v>293</v>
      </c>
      <c r="E15" s="40" t="s">
        <v>46</v>
      </c>
      <c r="F15" s="22">
        <v>120.1</v>
      </c>
      <c r="G15" s="42">
        <v>1000</v>
      </c>
      <c r="H15" s="23">
        <v>120.1</v>
      </c>
      <c r="I15" s="22">
        <f t="shared" si="1"/>
        <v>879.9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1823</v>
      </c>
      <c r="C16" s="28" t="s">
        <v>1816</v>
      </c>
      <c r="D16" s="66" t="s">
        <v>42</v>
      </c>
      <c r="E16" s="40" t="s">
        <v>955</v>
      </c>
      <c r="F16" s="22">
        <v>10985</v>
      </c>
      <c r="G16" s="42">
        <v>10000</v>
      </c>
      <c r="H16" s="23">
        <v>10985</v>
      </c>
      <c r="I16" s="22">
        <f t="shared" si="1"/>
        <v>-985</v>
      </c>
      <c r="J16" s="22" t="s">
        <v>24</v>
      </c>
      <c r="K16" s="24"/>
      <c r="L16" s="25"/>
    </row>
    <row r="17" spans="1:12" ht="15.75" x14ac:dyDescent="0.25">
      <c r="A17" s="20" t="s">
        <v>346</v>
      </c>
      <c r="B17" s="21" t="s">
        <v>1831</v>
      </c>
      <c r="C17" s="28" t="s">
        <v>61</v>
      </c>
      <c r="D17" s="66" t="s">
        <v>1454</v>
      </c>
      <c r="E17" s="40" t="s">
        <v>46</v>
      </c>
      <c r="F17" s="22">
        <v>52.5</v>
      </c>
      <c r="G17" s="42">
        <v>400</v>
      </c>
      <c r="H17" s="23">
        <v>52.5</v>
      </c>
      <c r="I17" s="22">
        <f t="shared" si="1"/>
        <v>347.5</v>
      </c>
      <c r="J17" s="22" t="s">
        <v>16</v>
      </c>
      <c r="K17" s="24"/>
      <c r="L17" s="25"/>
    </row>
    <row r="18" spans="1:12" ht="15.75" x14ac:dyDescent="0.25">
      <c r="A18" s="20" t="s">
        <v>569</v>
      </c>
      <c r="B18" s="21">
        <v>726145</v>
      </c>
      <c r="C18" s="28" t="s">
        <v>151</v>
      </c>
      <c r="D18" s="66" t="s">
        <v>240</v>
      </c>
      <c r="E18" s="40" t="s">
        <v>1665</v>
      </c>
      <c r="F18" s="22">
        <v>771</v>
      </c>
      <c r="G18" s="42">
        <v>30000</v>
      </c>
      <c r="H18" s="23">
        <v>7726.75</v>
      </c>
      <c r="I18" s="22">
        <f t="shared" si="1"/>
        <v>22273.25</v>
      </c>
      <c r="J18" s="22" t="s">
        <v>16</v>
      </c>
      <c r="K18" s="24"/>
      <c r="L18" s="25"/>
    </row>
    <row r="19" spans="1:12" ht="15.75" x14ac:dyDescent="0.25">
      <c r="A19" s="20" t="s">
        <v>14</v>
      </c>
      <c r="B19" s="21" t="s">
        <v>1814</v>
      </c>
      <c r="C19" s="28" t="s">
        <v>15</v>
      </c>
      <c r="D19" s="66" t="s">
        <v>381</v>
      </c>
      <c r="E19" s="40" t="s">
        <v>1615</v>
      </c>
      <c r="F19" s="22">
        <v>1500</v>
      </c>
      <c r="G19" s="42">
        <v>5000</v>
      </c>
      <c r="H19" s="23">
        <f>3500+1500</f>
        <v>5000</v>
      </c>
      <c r="I19" s="22">
        <f t="shared" si="0"/>
        <v>0</v>
      </c>
      <c r="J19" s="22" t="s">
        <v>23</v>
      </c>
      <c r="K19" s="24"/>
      <c r="L19" s="25"/>
    </row>
    <row r="20" spans="1:12" ht="15.75" x14ac:dyDescent="0.25">
      <c r="A20" s="20" t="s">
        <v>82</v>
      </c>
      <c r="B20" s="21" t="s">
        <v>1743</v>
      </c>
      <c r="C20" s="28" t="s">
        <v>15</v>
      </c>
      <c r="D20" s="66" t="s">
        <v>1000</v>
      </c>
      <c r="E20" s="40" t="s">
        <v>81</v>
      </c>
      <c r="F20" s="22">
        <v>330</v>
      </c>
      <c r="G20" s="42">
        <v>2000</v>
      </c>
      <c r="H20" s="23">
        <v>330</v>
      </c>
      <c r="I20" s="22">
        <f>G20-H20</f>
        <v>1670</v>
      </c>
      <c r="J20" s="22" t="s">
        <v>16</v>
      </c>
      <c r="K20" s="24"/>
      <c r="L20" s="25"/>
    </row>
    <row r="21" spans="1:12" ht="15.75" x14ac:dyDescent="0.25">
      <c r="A21" s="20" t="s">
        <v>459</v>
      </c>
      <c r="B21" s="21" t="s">
        <v>1832</v>
      </c>
      <c r="C21" s="28" t="s">
        <v>1833</v>
      </c>
      <c r="D21" s="66" t="s">
        <v>237</v>
      </c>
      <c r="E21" s="40" t="s">
        <v>1834</v>
      </c>
      <c r="F21" s="22">
        <v>211</v>
      </c>
      <c r="G21" s="22">
        <v>200</v>
      </c>
      <c r="H21" s="23">
        <v>211</v>
      </c>
      <c r="I21" s="22">
        <f>G21-H21</f>
        <v>-11</v>
      </c>
      <c r="J21" s="22" t="s">
        <v>24</v>
      </c>
      <c r="K21" s="24"/>
      <c r="L21" s="25"/>
    </row>
    <row r="22" spans="1:12" ht="16.5" thickBot="1" x14ac:dyDescent="0.3">
      <c r="A22" s="43"/>
      <c r="B22" s="44"/>
      <c r="C22" s="45"/>
      <c r="D22" s="67"/>
      <c r="E22" s="47"/>
      <c r="F22" s="48"/>
      <c r="G22" s="62"/>
      <c r="H22" s="49"/>
      <c r="I22" s="48"/>
      <c r="J22" s="48"/>
      <c r="K22" s="50"/>
      <c r="L22" s="51"/>
    </row>
    <row r="23" spans="1:12" ht="16.5" thickBot="1" x14ac:dyDescent="0.3">
      <c r="A23" s="71"/>
      <c r="B23" s="72"/>
      <c r="C23" s="73"/>
      <c r="D23" s="74"/>
      <c r="E23" s="75"/>
      <c r="F23" s="76"/>
      <c r="G23" s="76"/>
      <c r="H23" s="77"/>
      <c r="I23" s="76"/>
      <c r="J23" s="76"/>
      <c r="K23" s="78"/>
      <c r="L23" s="79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4379-CC97-4CB9-A90E-5229E31687A0}">
  <dimension ref="A2:L24"/>
  <sheetViews>
    <sheetView workbookViewId="0">
      <pane xSplit="3" topLeftCell="F1" activePane="topRight" state="frozen"/>
      <selection pane="topRight" activeCell="A6" sqref="A6:XFD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28</v>
      </c>
      <c r="B4" s="15" t="s">
        <v>1838</v>
      </c>
      <c r="C4" s="26" t="s">
        <v>15</v>
      </c>
      <c r="D4" s="65" t="s">
        <v>18</v>
      </c>
      <c r="E4" s="39" t="s">
        <v>112</v>
      </c>
      <c r="F4" s="16">
        <v>5500</v>
      </c>
      <c r="G4" s="16">
        <v>75200</v>
      </c>
      <c r="H4" s="17">
        <v>5500</v>
      </c>
      <c r="I4" s="16">
        <f>G4-H4</f>
        <v>69700</v>
      </c>
      <c r="J4" s="16" t="s">
        <v>16</v>
      </c>
      <c r="K4" s="18"/>
      <c r="L4" s="19"/>
    </row>
    <row r="5" spans="1:12" ht="15.75" x14ac:dyDescent="0.25">
      <c r="A5" s="20" t="s">
        <v>44</v>
      </c>
      <c r="B5" s="21" t="s">
        <v>1793</v>
      </c>
      <c r="C5" s="28" t="s">
        <v>15</v>
      </c>
      <c r="D5" s="66" t="s">
        <v>1613</v>
      </c>
      <c r="E5" s="40" t="s">
        <v>45</v>
      </c>
      <c r="F5" s="22">
        <v>31000</v>
      </c>
      <c r="G5" s="42">
        <v>500000</v>
      </c>
      <c r="H5" s="23">
        <f>17000+47000+15000+31000</f>
        <v>110000</v>
      </c>
      <c r="I5" s="22">
        <f>G5-H5</f>
        <v>390000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1628</v>
      </c>
      <c r="C6" s="28" t="s">
        <v>204</v>
      </c>
      <c r="D6" s="66" t="s">
        <v>1807</v>
      </c>
      <c r="E6" s="40" t="s">
        <v>206</v>
      </c>
      <c r="F6" s="22">
        <v>388.8</v>
      </c>
      <c r="G6" s="42">
        <v>3000</v>
      </c>
      <c r="H6" s="23">
        <f>657.9+331.7+388.8</f>
        <v>1378.3999999999999</v>
      </c>
      <c r="I6" s="22">
        <f t="shared" ref="I6:I20" si="0">G6-H6</f>
        <v>1621.6000000000001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1835</v>
      </c>
      <c r="C7" s="28" t="s">
        <v>1786</v>
      </c>
      <c r="D7" s="66" t="s">
        <v>1099</v>
      </c>
      <c r="E7" s="40" t="s">
        <v>1836</v>
      </c>
      <c r="F7" s="22">
        <v>2000</v>
      </c>
      <c r="G7" s="22">
        <v>5000</v>
      </c>
      <c r="H7" s="23">
        <v>2000</v>
      </c>
      <c r="I7" s="22">
        <f>G7-H7</f>
        <v>3000</v>
      </c>
      <c r="J7" s="22" t="s">
        <v>16</v>
      </c>
      <c r="K7" s="24"/>
      <c r="L7" s="25"/>
    </row>
    <row r="8" spans="1:12" ht="15.75" x14ac:dyDescent="0.25">
      <c r="A8" s="20" t="s">
        <v>228</v>
      </c>
      <c r="B8" s="21" t="s">
        <v>1732</v>
      </c>
      <c r="C8" s="28" t="s">
        <v>373</v>
      </c>
      <c r="D8" s="66" t="s">
        <v>1803</v>
      </c>
      <c r="E8" s="40" t="s">
        <v>184</v>
      </c>
      <c r="F8" s="22">
        <v>23</v>
      </c>
      <c r="G8" s="42">
        <v>2000</v>
      </c>
      <c r="H8" s="23">
        <f>279.9+190.4+23</f>
        <v>493.29999999999995</v>
      </c>
      <c r="I8" s="22">
        <f t="shared" si="0"/>
        <v>1506.7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1837</v>
      </c>
      <c r="C9" s="28" t="s">
        <v>434</v>
      </c>
      <c r="D9" s="66" t="s">
        <v>440</v>
      </c>
      <c r="E9" s="40" t="s">
        <v>1662</v>
      </c>
      <c r="F9" s="22">
        <v>210.1</v>
      </c>
      <c r="G9" s="42">
        <v>323.5</v>
      </c>
      <c r="H9" s="23">
        <v>210.11</v>
      </c>
      <c r="I9" s="22">
        <f t="shared" si="0"/>
        <v>113.38999999999999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1703</v>
      </c>
      <c r="C10" s="28" t="s">
        <v>34</v>
      </c>
      <c r="D10" s="66" t="s">
        <v>18</v>
      </c>
      <c r="E10" s="40" t="s">
        <v>1804</v>
      </c>
      <c r="F10" s="22">
        <v>2000</v>
      </c>
      <c r="G10" s="42">
        <v>200000</v>
      </c>
      <c r="H10" s="23">
        <f>81970+46000+22000+2000</f>
        <v>151970</v>
      </c>
      <c r="I10" s="22">
        <f t="shared" ref="I10:I17" si="1">G10-H10</f>
        <v>48030</v>
      </c>
      <c r="J10" s="22" t="s">
        <v>16</v>
      </c>
      <c r="K10" s="24"/>
      <c r="L10" s="25"/>
    </row>
    <row r="11" spans="1:12" ht="15.75" x14ac:dyDescent="0.25">
      <c r="A11" s="20" t="s">
        <v>19</v>
      </c>
      <c r="B11" s="21" t="s">
        <v>1839</v>
      </c>
      <c r="C11" s="28" t="s">
        <v>1840</v>
      </c>
      <c r="D11" s="66" t="s">
        <v>1099</v>
      </c>
      <c r="E11" s="40" t="s">
        <v>1841</v>
      </c>
      <c r="F11" s="22">
        <f>18000+17000</f>
        <v>35000</v>
      </c>
      <c r="G11" s="42">
        <v>35000</v>
      </c>
      <c r="H11" s="23">
        <v>35000</v>
      </c>
      <c r="I11" s="22">
        <f t="shared" si="1"/>
        <v>0</v>
      </c>
      <c r="J11" s="22" t="s">
        <v>23</v>
      </c>
      <c r="K11" s="24"/>
      <c r="L11" s="25"/>
    </row>
    <row r="12" spans="1:12" ht="15.75" x14ac:dyDescent="0.25">
      <c r="A12" s="20" t="s">
        <v>19</v>
      </c>
      <c r="B12" s="21" t="s">
        <v>1842</v>
      </c>
      <c r="C12" s="28" t="s">
        <v>630</v>
      </c>
      <c r="D12" s="66" t="s">
        <v>27</v>
      </c>
      <c r="E12" s="40" t="s">
        <v>629</v>
      </c>
      <c r="F12" s="22">
        <v>7000</v>
      </c>
      <c r="G12" s="42">
        <v>10000</v>
      </c>
      <c r="H12" s="23">
        <v>7000</v>
      </c>
      <c r="I12" s="22">
        <f t="shared" si="1"/>
        <v>3000</v>
      </c>
      <c r="J12" s="22" t="s">
        <v>16</v>
      </c>
      <c r="K12" s="24"/>
      <c r="L12" s="25"/>
    </row>
    <row r="13" spans="1:12" ht="15.75" x14ac:dyDescent="0.25">
      <c r="A13" s="20" t="s">
        <v>51</v>
      </c>
      <c r="B13" s="21" t="s">
        <v>1828</v>
      </c>
      <c r="C13" s="28" t="s">
        <v>1125</v>
      </c>
      <c r="D13" s="66" t="s">
        <v>1829</v>
      </c>
      <c r="E13" s="40" t="s">
        <v>657</v>
      </c>
      <c r="F13" s="22">
        <v>120.9</v>
      </c>
      <c r="G13" s="42">
        <v>600</v>
      </c>
      <c r="H13" s="23">
        <f>352+120.9</f>
        <v>472.9</v>
      </c>
      <c r="I13" s="22">
        <f t="shared" si="1"/>
        <v>127.10000000000002</v>
      </c>
      <c r="J13" s="22" t="s">
        <v>16</v>
      </c>
      <c r="K13" s="24"/>
      <c r="L13" s="25"/>
    </row>
    <row r="14" spans="1:12" ht="15.75" x14ac:dyDescent="0.25">
      <c r="A14" s="20" t="s">
        <v>228</v>
      </c>
      <c r="B14" s="21" t="s">
        <v>1777</v>
      </c>
      <c r="C14" s="28" t="s">
        <v>210</v>
      </c>
      <c r="D14" s="66" t="s">
        <v>18</v>
      </c>
      <c r="E14" s="40" t="s">
        <v>427</v>
      </c>
      <c r="F14" s="22">
        <v>28000</v>
      </c>
      <c r="G14" s="42">
        <v>300000</v>
      </c>
      <c r="H14" s="23">
        <f>45000+28000</f>
        <v>73000</v>
      </c>
      <c r="I14" s="22">
        <f t="shared" si="1"/>
        <v>227000</v>
      </c>
      <c r="J14" s="22" t="s">
        <v>16</v>
      </c>
      <c r="K14" s="24"/>
      <c r="L14" s="25"/>
    </row>
    <row r="15" spans="1:12" ht="15.75" x14ac:dyDescent="0.25">
      <c r="A15" s="20" t="s">
        <v>40</v>
      </c>
      <c r="B15" s="21" t="s">
        <v>1381</v>
      </c>
      <c r="C15" s="28" t="s">
        <v>15</v>
      </c>
      <c r="D15" s="66" t="s">
        <v>68</v>
      </c>
      <c r="E15" s="40" t="s">
        <v>69</v>
      </c>
      <c r="F15" s="22">
        <v>30000</v>
      </c>
      <c r="G15" s="42">
        <v>2000000</v>
      </c>
      <c r="H15" s="23">
        <v>30000</v>
      </c>
      <c r="I15" s="22">
        <f t="shared" si="1"/>
        <v>1970000</v>
      </c>
      <c r="J15" s="22" t="s">
        <v>16</v>
      </c>
      <c r="K15" s="24"/>
      <c r="L15" s="25"/>
    </row>
    <row r="16" spans="1:12" ht="15.75" x14ac:dyDescent="0.25">
      <c r="A16" s="20" t="s">
        <v>14</v>
      </c>
      <c r="B16" s="21" t="s">
        <v>1537</v>
      </c>
      <c r="C16" s="28" t="s">
        <v>32</v>
      </c>
      <c r="D16" s="66" t="s">
        <v>18</v>
      </c>
      <c r="E16" s="40" t="s">
        <v>1622</v>
      </c>
      <c r="F16" s="22">
        <v>621</v>
      </c>
      <c r="G16" s="42">
        <v>5000</v>
      </c>
      <c r="H16" s="23">
        <v>621</v>
      </c>
      <c r="I16" s="22">
        <f t="shared" si="1"/>
        <v>4379</v>
      </c>
      <c r="J16" s="22" t="s">
        <v>16</v>
      </c>
      <c r="K16" s="24"/>
      <c r="L16" s="25"/>
    </row>
    <row r="17" spans="1:12" ht="15.75" x14ac:dyDescent="0.25">
      <c r="A17" s="20" t="s">
        <v>569</v>
      </c>
      <c r="B17" s="21" t="s">
        <v>1259</v>
      </c>
      <c r="C17" s="28" t="s">
        <v>151</v>
      </c>
      <c r="D17" s="66" t="s">
        <v>240</v>
      </c>
      <c r="E17" s="40" t="s">
        <v>1260</v>
      </c>
      <c r="F17" s="22">
        <v>807.15</v>
      </c>
      <c r="G17" s="42">
        <v>30000</v>
      </c>
      <c r="H17" s="23">
        <v>188495.25</v>
      </c>
      <c r="I17" s="22">
        <f t="shared" si="1"/>
        <v>-158495.25</v>
      </c>
      <c r="J17" s="22" t="s">
        <v>16</v>
      </c>
      <c r="K17" s="24"/>
      <c r="L17" s="25"/>
    </row>
    <row r="18" spans="1:12" ht="15.75" x14ac:dyDescent="0.25">
      <c r="A18" s="20" t="s">
        <v>30</v>
      </c>
      <c r="B18" s="21" t="s">
        <v>1844</v>
      </c>
      <c r="C18" s="28" t="s">
        <v>554</v>
      </c>
      <c r="D18" s="66" t="s">
        <v>37</v>
      </c>
      <c r="E18" s="40" t="s">
        <v>313</v>
      </c>
      <c r="F18" s="22">
        <v>10000</v>
      </c>
      <c r="G18" s="42">
        <v>22000</v>
      </c>
      <c r="H18" s="23">
        <v>10000</v>
      </c>
      <c r="I18" s="22">
        <f t="shared" ref="I18" si="2">G18-H18</f>
        <v>12000</v>
      </c>
      <c r="J18" s="22" t="s">
        <v>16</v>
      </c>
      <c r="K18" s="24"/>
      <c r="L18" s="25"/>
    </row>
    <row r="19" spans="1:12" ht="18.75" customHeight="1" x14ac:dyDescent="0.25">
      <c r="A19" s="20" t="s">
        <v>19</v>
      </c>
      <c r="B19" s="21" t="s">
        <v>1791</v>
      </c>
      <c r="C19" s="28" t="s">
        <v>1646</v>
      </c>
      <c r="D19" s="66" t="s">
        <v>18</v>
      </c>
      <c r="E19" s="40" t="s">
        <v>1792</v>
      </c>
      <c r="F19" s="22">
        <v>1845</v>
      </c>
      <c r="G19" s="22">
        <v>46000</v>
      </c>
      <c r="H19" s="23">
        <f>34000+15500+1845</f>
        <v>51345</v>
      </c>
      <c r="I19" s="22">
        <f>G19-H19</f>
        <v>-5345</v>
      </c>
      <c r="J19" s="22" t="s">
        <v>24</v>
      </c>
      <c r="K19" s="24"/>
      <c r="L19" s="25"/>
    </row>
    <row r="20" spans="1:12" ht="15.75" x14ac:dyDescent="0.25">
      <c r="A20" s="20" t="s">
        <v>19</v>
      </c>
      <c r="B20" s="21" t="s">
        <v>1843</v>
      </c>
      <c r="C20" s="28" t="s">
        <v>1827</v>
      </c>
      <c r="D20" s="66" t="s">
        <v>42</v>
      </c>
      <c r="E20" s="40" t="s">
        <v>365</v>
      </c>
      <c r="F20" s="22">
        <v>9000</v>
      </c>
      <c r="G20" s="42">
        <v>10000</v>
      </c>
      <c r="H20" s="23">
        <v>9000</v>
      </c>
      <c r="I20" s="22">
        <f t="shared" si="0"/>
        <v>1000</v>
      </c>
      <c r="J20" s="22" t="s">
        <v>16</v>
      </c>
      <c r="K20" s="24"/>
      <c r="L20" s="25"/>
    </row>
    <row r="21" spans="1:12" ht="15.75" x14ac:dyDescent="0.25">
      <c r="A21" s="20" t="s">
        <v>82</v>
      </c>
      <c r="B21" s="21" t="s">
        <v>1743</v>
      </c>
      <c r="C21" s="28" t="s">
        <v>15</v>
      </c>
      <c r="D21" s="66" t="s">
        <v>1000</v>
      </c>
      <c r="E21" s="40" t="s">
        <v>81</v>
      </c>
      <c r="F21" s="22">
        <v>280</v>
      </c>
      <c r="G21" s="42">
        <v>2000</v>
      </c>
      <c r="H21" s="23">
        <f>330+280</f>
        <v>610</v>
      </c>
      <c r="I21" s="22">
        <f>G21-H21</f>
        <v>1390</v>
      </c>
      <c r="J21" s="22" t="s">
        <v>16</v>
      </c>
      <c r="K21" s="24"/>
      <c r="L21" s="25"/>
    </row>
    <row r="22" spans="1:12" ht="15.75" x14ac:dyDescent="0.25">
      <c r="A22" s="20" t="s">
        <v>20</v>
      </c>
      <c r="B22" s="21" t="s">
        <v>1672</v>
      </c>
      <c r="C22" s="28" t="s">
        <v>34</v>
      </c>
      <c r="D22" s="66" t="s">
        <v>18</v>
      </c>
      <c r="E22" s="40" t="s">
        <v>1196</v>
      </c>
      <c r="F22" s="22">
        <v>3250</v>
      </c>
      <c r="G22" s="22">
        <v>150000</v>
      </c>
      <c r="H22" s="23">
        <v>3250</v>
      </c>
      <c r="I22" s="22">
        <f>G22-H22</f>
        <v>146750</v>
      </c>
      <c r="J22" s="22" t="s">
        <v>16</v>
      </c>
      <c r="K22" s="24"/>
      <c r="L22" s="25"/>
    </row>
    <row r="23" spans="1:12" ht="16.5" thickBot="1" x14ac:dyDescent="0.3">
      <c r="A23" s="43"/>
      <c r="B23" s="44"/>
      <c r="C23" s="45"/>
      <c r="D23" s="67"/>
      <c r="E23" s="47"/>
      <c r="F23" s="48"/>
      <c r="G23" s="62"/>
      <c r="H23" s="49"/>
      <c r="I23" s="48"/>
      <c r="J23" s="48"/>
      <c r="K23" s="50"/>
      <c r="L23" s="51"/>
    </row>
    <row r="24" spans="1:12" ht="16.5" thickBot="1" x14ac:dyDescent="0.3">
      <c r="A24" s="71"/>
      <c r="B24" s="72"/>
      <c r="C24" s="73"/>
      <c r="D24" s="74"/>
      <c r="E24" s="75"/>
      <c r="F24" s="76"/>
      <c r="G24" s="76"/>
      <c r="H24" s="77"/>
      <c r="I24" s="76"/>
      <c r="J24" s="76"/>
      <c r="K24" s="78"/>
      <c r="L24" s="79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3343-CE52-41D9-BFA6-B2D5AB318BDA}">
  <dimension ref="A2:L29"/>
  <sheetViews>
    <sheetView workbookViewId="0">
      <pane xSplit="3" topLeftCell="F1" activePane="topRight" state="frozen"/>
      <selection pane="topRight" activeCell="A15" sqref="A15:XFD1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28</v>
      </c>
      <c r="B4" s="15" t="s">
        <v>1838</v>
      </c>
      <c r="C4" s="26" t="s">
        <v>15</v>
      </c>
      <c r="D4" s="65" t="s">
        <v>18</v>
      </c>
      <c r="E4" s="39" t="s">
        <v>112</v>
      </c>
      <c r="F4" s="16">
        <v>11918</v>
      </c>
      <c r="G4" s="16">
        <v>75200</v>
      </c>
      <c r="H4" s="17">
        <f>5500+11918</f>
        <v>17418</v>
      </c>
      <c r="I4" s="16">
        <f>G4-H4</f>
        <v>57782</v>
      </c>
      <c r="J4" s="16" t="s">
        <v>16</v>
      </c>
      <c r="K4" s="18"/>
      <c r="L4" s="19"/>
    </row>
    <row r="5" spans="1:12" ht="15.75" x14ac:dyDescent="0.25">
      <c r="A5" s="20" t="s">
        <v>44</v>
      </c>
      <c r="B5" s="21" t="s">
        <v>1793</v>
      </c>
      <c r="C5" s="28" t="s">
        <v>15</v>
      </c>
      <c r="D5" s="66" t="s">
        <v>1613</v>
      </c>
      <c r="E5" s="40" t="s">
        <v>45</v>
      </c>
      <c r="F5" s="22">
        <v>30000</v>
      </c>
      <c r="G5" s="42">
        <v>500000</v>
      </c>
      <c r="H5" s="23">
        <f>17000+47000+15000+31000+30000</f>
        <v>140000</v>
      </c>
      <c r="I5" s="22">
        <f>G5-H5</f>
        <v>360000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1845</v>
      </c>
      <c r="C6" s="28" t="s">
        <v>1846</v>
      </c>
      <c r="D6" s="66" t="s">
        <v>240</v>
      </c>
      <c r="E6" s="40" t="s">
        <v>1847</v>
      </c>
      <c r="F6" s="22">
        <v>258</v>
      </c>
      <c r="G6" s="42">
        <v>1000</v>
      </c>
      <c r="H6" s="23">
        <v>258</v>
      </c>
      <c r="I6" s="22">
        <f t="shared" ref="I6:I25" si="0">G6-H6</f>
        <v>742</v>
      </c>
      <c r="J6" s="22" t="s">
        <v>16</v>
      </c>
      <c r="K6" s="24"/>
      <c r="L6" s="25"/>
    </row>
    <row r="7" spans="1:12" ht="15.75" x14ac:dyDescent="0.25">
      <c r="A7" s="20" t="s">
        <v>17</v>
      </c>
      <c r="B7" s="21" t="s">
        <v>1835</v>
      </c>
      <c r="C7" s="28" t="s">
        <v>1786</v>
      </c>
      <c r="D7" s="66" t="s">
        <v>1099</v>
      </c>
      <c r="E7" s="40" t="s">
        <v>1836</v>
      </c>
      <c r="F7" s="22">
        <v>4000</v>
      </c>
      <c r="G7" s="22">
        <v>5000</v>
      </c>
      <c r="H7" s="23">
        <f>2000+4000</f>
        <v>6000</v>
      </c>
      <c r="I7" s="22">
        <f>G7-H7</f>
        <v>-1000</v>
      </c>
      <c r="J7" s="22" t="s">
        <v>24</v>
      </c>
      <c r="K7" s="24"/>
      <c r="L7" s="25"/>
    </row>
    <row r="8" spans="1:12" ht="15.75" x14ac:dyDescent="0.25">
      <c r="A8" s="20" t="s">
        <v>51</v>
      </c>
      <c r="B8" s="21" t="s">
        <v>1848</v>
      </c>
      <c r="C8" s="28" t="s">
        <v>15</v>
      </c>
      <c r="D8" s="66" t="s">
        <v>240</v>
      </c>
      <c r="E8" s="40" t="s">
        <v>1849</v>
      </c>
      <c r="F8" s="22">
        <f>834</f>
        <v>834</v>
      </c>
      <c r="G8" s="42">
        <v>1000</v>
      </c>
      <c r="H8" s="23">
        <v>834</v>
      </c>
      <c r="I8" s="22">
        <f t="shared" si="0"/>
        <v>166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1837</v>
      </c>
      <c r="C9" s="28" t="s">
        <v>434</v>
      </c>
      <c r="D9" s="66" t="s">
        <v>440</v>
      </c>
      <c r="E9" s="40" t="s">
        <v>1662</v>
      </c>
      <c r="F9" s="22">
        <v>89.6</v>
      </c>
      <c r="G9" s="42">
        <v>323.5</v>
      </c>
      <c r="H9" s="23">
        <f>210.11+89.6</f>
        <v>299.71000000000004</v>
      </c>
      <c r="I9" s="22">
        <f t="shared" si="0"/>
        <v>23.789999999999964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1703</v>
      </c>
      <c r="C10" s="28" t="s">
        <v>34</v>
      </c>
      <c r="D10" s="66" t="s">
        <v>18</v>
      </c>
      <c r="E10" s="40" t="s">
        <v>1804</v>
      </c>
      <c r="F10" s="22">
        <v>50000</v>
      </c>
      <c r="G10" s="42">
        <v>200000</v>
      </c>
      <c r="H10" s="23">
        <f>81970+46000+22000+2000+50000</f>
        <v>201970</v>
      </c>
      <c r="I10" s="22">
        <f t="shared" si="0"/>
        <v>-1970</v>
      </c>
      <c r="J10" s="22" t="s">
        <v>24</v>
      </c>
      <c r="K10" s="24"/>
      <c r="L10" s="25"/>
    </row>
    <row r="11" spans="1:12" ht="15.75" x14ac:dyDescent="0.25">
      <c r="A11" s="20" t="s">
        <v>19</v>
      </c>
      <c r="B11" s="21" t="s">
        <v>1597</v>
      </c>
      <c r="C11" s="28" t="s">
        <v>15</v>
      </c>
      <c r="D11" s="66" t="s">
        <v>1099</v>
      </c>
      <c r="E11" s="40" t="s">
        <v>1100</v>
      </c>
      <c r="F11" s="22">
        <v>12000</v>
      </c>
      <c r="G11" s="42">
        <v>10000</v>
      </c>
      <c r="H11" s="23">
        <v>12000</v>
      </c>
      <c r="I11" s="22">
        <f t="shared" si="0"/>
        <v>-2000</v>
      </c>
      <c r="J11" s="22" t="s">
        <v>24</v>
      </c>
      <c r="K11" s="24"/>
      <c r="L11" s="25"/>
    </row>
    <row r="12" spans="1:12" ht="15.75" x14ac:dyDescent="0.25">
      <c r="A12" s="20" t="s">
        <v>19</v>
      </c>
      <c r="B12" s="21" t="s">
        <v>1842</v>
      </c>
      <c r="C12" s="28" t="s">
        <v>630</v>
      </c>
      <c r="D12" s="66" t="s">
        <v>27</v>
      </c>
      <c r="E12" s="40" t="s">
        <v>629</v>
      </c>
      <c r="F12" s="22">
        <v>1770</v>
      </c>
      <c r="G12" s="42">
        <v>10000</v>
      </c>
      <c r="H12" s="23">
        <f>7000+1770</f>
        <v>8770</v>
      </c>
      <c r="I12" s="22">
        <f t="shared" si="0"/>
        <v>1230</v>
      </c>
      <c r="J12" s="22" t="s">
        <v>16</v>
      </c>
      <c r="K12" s="24"/>
      <c r="L12" s="25"/>
    </row>
    <row r="13" spans="1:12" ht="15.75" x14ac:dyDescent="0.25">
      <c r="A13" s="20" t="s">
        <v>19</v>
      </c>
      <c r="B13" s="21" t="s">
        <v>603</v>
      </c>
      <c r="C13" s="28" t="s">
        <v>1002</v>
      </c>
      <c r="D13" s="66" t="s">
        <v>1850</v>
      </c>
      <c r="E13" s="40" t="s">
        <v>1851</v>
      </c>
      <c r="F13" s="22">
        <f>4000+2500</f>
        <v>6500</v>
      </c>
      <c r="G13" s="42">
        <v>30000</v>
      </c>
      <c r="H13" s="23">
        <v>6500</v>
      </c>
      <c r="I13" s="22">
        <f>G13-H13</f>
        <v>23500</v>
      </c>
      <c r="J13" s="22" t="s">
        <v>16</v>
      </c>
      <c r="K13" s="24"/>
      <c r="L13" s="25"/>
    </row>
    <row r="14" spans="1:12" ht="15.75" x14ac:dyDescent="0.25">
      <c r="A14" s="20" t="s">
        <v>19</v>
      </c>
      <c r="B14" s="21" t="s">
        <v>1852</v>
      </c>
      <c r="C14" s="28" t="s">
        <v>1002</v>
      </c>
      <c r="D14" s="66" t="s">
        <v>1853</v>
      </c>
      <c r="E14" s="40" t="s">
        <v>1854</v>
      </c>
      <c r="F14" s="22">
        <v>3500</v>
      </c>
      <c r="G14" s="42">
        <v>15000</v>
      </c>
      <c r="H14" s="23">
        <v>3500</v>
      </c>
      <c r="I14" s="22">
        <f t="shared" si="0"/>
        <v>11500</v>
      </c>
      <c r="J14" s="22" t="s">
        <v>16</v>
      </c>
      <c r="K14" s="24"/>
      <c r="L14" s="25"/>
    </row>
    <row r="15" spans="1:12" ht="15.75" x14ac:dyDescent="0.25">
      <c r="A15" s="20" t="s">
        <v>228</v>
      </c>
      <c r="B15" s="21" t="s">
        <v>1777</v>
      </c>
      <c r="C15" s="28" t="s">
        <v>210</v>
      </c>
      <c r="D15" s="66" t="s">
        <v>18</v>
      </c>
      <c r="E15" s="40" t="s">
        <v>427</v>
      </c>
      <c r="F15" s="22">
        <v>4000</v>
      </c>
      <c r="G15" s="42">
        <v>300000</v>
      </c>
      <c r="H15" s="23">
        <f>45000+28000+4000</f>
        <v>77000</v>
      </c>
      <c r="I15" s="22">
        <f t="shared" si="0"/>
        <v>223000</v>
      </c>
      <c r="J15" s="22" t="s">
        <v>16</v>
      </c>
      <c r="K15" s="24"/>
      <c r="L15" s="25"/>
    </row>
    <row r="16" spans="1:12" ht="15.75" x14ac:dyDescent="0.25">
      <c r="A16" s="20" t="s">
        <v>40</v>
      </c>
      <c r="B16" s="21" t="s">
        <v>1381</v>
      </c>
      <c r="C16" s="28" t="s">
        <v>15</v>
      </c>
      <c r="D16" s="66" t="s">
        <v>68</v>
      </c>
      <c r="E16" s="40" t="s">
        <v>69</v>
      </c>
      <c r="F16" s="22">
        <v>20000</v>
      </c>
      <c r="G16" s="42">
        <v>2000000</v>
      </c>
      <c r="H16" s="23">
        <f>30000+20000</f>
        <v>50000</v>
      </c>
      <c r="I16" s="22">
        <f t="shared" si="0"/>
        <v>1950000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1537</v>
      </c>
      <c r="C17" s="28" t="s">
        <v>32</v>
      </c>
      <c r="D17" s="66" t="s">
        <v>18</v>
      </c>
      <c r="E17" s="40" t="s">
        <v>1622</v>
      </c>
      <c r="F17" s="22">
        <v>621</v>
      </c>
      <c r="G17" s="42">
        <v>5000</v>
      </c>
      <c r="H17" s="23">
        <v>621</v>
      </c>
      <c r="I17" s="22">
        <f t="shared" si="0"/>
        <v>4379</v>
      </c>
      <c r="J17" s="22" t="s">
        <v>16</v>
      </c>
      <c r="K17" s="24"/>
      <c r="L17" s="25"/>
    </row>
    <row r="18" spans="1:12" ht="15.75" x14ac:dyDescent="0.25">
      <c r="A18" s="20" t="s">
        <v>14</v>
      </c>
      <c r="B18" s="21" t="s">
        <v>1855</v>
      </c>
      <c r="C18" s="28" t="s">
        <v>15</v>
      </c>
      <c r="D18" s="66" t="s">
        <v>18</v>
      </c>
      <c r="E18" s="40" t="s">
        <v>1622</v>
      </c>
      <c r="F18" s="22">
        <v>290</v>
      </c>
      <c r="G18" s="42">
        <v>1000</v>
      </c>
      <c r="H18" s="23">
        <v>290</v>
      </c>
      <c r="I18" s="22">
        <f t="shared" ref="I18" si="1">G18-H18</f>
        <v>710</v>
      </c>
      <c r="J18" s="22" t="s">
        <v>16</v>
      </c>
      <c r="K18" s="24"/>
      <c r="L18" s="25"/>
    </row>
    <row r="19" spans="1:12" ht="15.75" x14ac:dyDescent="0.25">
      <c r="A19" s="20" t="s">
        <v>14</v>
      </c>
      <c r="B19" s="21" t="s">
        <v>1856</v>
      </c>
      <c r="C19" s="28" t="s">
        <v>15</v>
      </c>
      <c r="D19" s="66" t="s">
        <v>18</v>
      </c>
      <c r="E19" s="40" t="s">
        <v>1547</v>
      </c>
      <c r="F19" s="22">
        <v>3500</v>
      </c>
      <c r="G19" s="42">
        <v>5000</v>
      </c>
      <c r="H19" s="23">
        <v>3500</v>
      </c>
      <c r="I19" s="22">
        <f t="shared" ref="I19:I21" si="2">G19-H19</f>
        <v>1500</v>
      </c>
      <c r="J19" s="22" t="s">
        <v>16</v>
      </c>
      <c r="K19" s="24"/>
      <c r="L19" s="25"/>
    </row>
    <row r="20" spans="1:12" ht="15.75" x14ac:dyDescent="0.25">
      <c r="A20" s="20" t="s">
        <v>228</v>
      </c>
      <c r="B20" s="21" t="s">
        <v>1857</v>
      </c>
      <c r="C20" s="28" t="s">
        <v>15</v>
      </c>
      <c r="D20" s="66" t="s">
        <v>18</v>
      </c>
      <c r="E20" s="40" t="s">
        <v>361</v>
      </c>
      <c r="F20" s="22">
        <v>22000</v>
      </c>
      <c r="G20" s="42">
        <v>20000</v>
      </c>
      <c r="H20" s="23">
        <v>22000</v>
      </c>
      <c r="I20" s="22">
        <f t="shared" si="2"/>
        <v>-2000</v>
      </c>
      <c r="J20" s="22" t="s">
        <v>24</v>
      </c>
      <c r="K20" s="24"/>
      <c r="L20" s="25"/>
    </row>
    <row r="21" spans="1:12" ht="15.75" x14ac:dyDescent="0.25">
      <c r="A21" s="20" t="s">
        <v>228</v>
      </c>
      <c r="B21" s="21" t="s">
        <v>1858</v>
      </c>
      <c r="C21" s="28" t="s">
        <v>15</v>
      </c>
      <c r="D21" s="66" t="s">
        <v>18</v>
      </c>
      <c r="E21" s="40" t="s">
        <v>361</v>
      </c>
      <c r="F21" s="22">
        <v>24000</v>
      </c>
      <c r="G21" s="42">
        <v>200000</v>
      </c>
      <c r="H21" s="23">
        <v>24000</v>
      </c>
      <c r="I21" s="22">
        <f t="shared" si="2"/>
        <v>176000</v>
      </c>
      <c r="J21" s="22" t="s">
        <v>16</v>
      </c>
      <c r="K21" s="24"/>
      <c r="L21" s="25"/>
    </row>
    <row r="22" spans="1:12" ht="15.75" x14ac:dyDescent="0.25">
      <c r="A22" s="20" t="s">
        <v>228</v>
      </c>
      <c r="B22" s="21" t="s">
        <v>1721</v>
      </c>
      <c r="C22" s="28" t="s">
        <v>15</v>
      </c>
      <c r="D22" s="66" t="s">
        <v>18</v>
      </c>
      <c r="E22" s="40" t="s">
        <v>39</v>
      </c>
      <c r="F22" s="22">
        <v>4285</v>
      </c>
      <c r="G22" s="42">
        <v>10000</v>
      </c>
      <c r="H22" s="23">
        <v>4285</v>
      </c>
      <c r="I22" s="22">
        <f t="shared" si="0"/>
        <v>5715</v>
      </c>
      <c r="J22" s="22" t="s">
        <v>16</v>
      </c>
      <c r="K22" s="24"/>
      <c r="L22" s="25"/>
    </row>
    <row r="23" spans="1:12" ht="15.75" x14ac:dyDescent="0.25">
      <c r="A23" s="20" t="s">
        <v>30</v>
      </c>
      <c r="B23" s="21" t="s">
        <v>1844</v>
      </c>
      <c r="C23" s="28" t="s">
        <v>554</v>
      </c>
      <c r="D23" s="66" t="s">
        <v>37</v>
      </c>
      <c r="E23" s="40" t="s">
        <v>313</v>
      </c>
      <c r="F23" s="22">
        <v>10500</v>
      </c>
      <c r="G23" s="42">
        <v>22000</v>
      </c>
      <c r="H23" s="23">
        <f>10000+10500</f>
        <v>20500</v>
      </c>
      <c r="I23" s="22">
        <f t="shared" si="0"/>
        <v>1500</v>
      </c>
      <c r="J23" s="22" t="s">
        <v>16</v>
      </c>
      <c r="K23" s="24"/>
      <c r="L23" s="25"/>
    </row>
    <row r="24" spans="1:12" ht="18.75" customHeight="1" x14ac:dyDescent="0.25">
      <c r="A24" s="20" t="s">
        <v>20</v>
      </c>
      <c r="B24" s="21" t="s">
        <v>1642</v>
      </c>
      <c r="C24" s="28" t="s">
        <v>34</v>
      </c>
      <c r="D24" s="66" t="s">
        <v>18</v>
      </c>
      <c r="E24" s="40" t="s">
        <v>127</v>
      </c>
      <c r="F24" s="22">
        <v>890</v>
      </c>
      <c r="G24" s="22">
        <v>75000</v>
      </c>
      <c r="H24" s="23">
        <v>41440</v>
      </c>
      <c r="I24" s="22">
        <f>G24-H24</f>
        <v>33560</v>
      </c>
      <c r="J24" s="22" t="s">
        <v>16</v>
      </c>
      <c r="K24" s="24"/>
      <c r="L24" s="25"/>
    </row>
    <row r="25" spans="1:12" ht="15.75" x14ac:dyDescent="0.25">
      <c r="A25" s="20" t="s">
        <v>19</v>
      </c>
      <c r="B25" s="21" t="s">
        <v>1843</v>
      </c>
      <c r="C25" s="28" t="s">
        <v>1827</v>
      </c>
      <c r="D25" s="66" t="s">
        <v>42</v>
      </c>
      <c r="E25" s="40" t="s">
        <v>365</v>
      </c>
      <c r="F25" s="22">
        <v>2130</v>
      </c>
      <c r="G25" s="42">
        <v>10000</v>
      </c>
      <c r="H25" s="23">
        <f>9000+2130</f>
        <v>11130</v>
      </c>
      <c r="I25" s="22">
        <f t="shared" si="0"/>
        <v>-1130</v>
      </c>
      <c r="J25" s="22" t="s">
        <v>24</v>
      </c>
      <c r="K25" s="24"/>
      <c r="L25" s="25"/>
    </row>
    <row r="26" spans="1:12" ht="15.75" x14ac:dyDescent="0.25">
      <c r="A26" s="20" t="s">
        <v>82</v>
      </c>
      <c r="B26" s="21" t="s">
        <v>1743</v>
      </c>
      <c r="C26" s="28" t="s">
        <v>15</v>
      </c>
      <c r="D26" s="66" t="s">
        <v>1000</v>
      </c>
      <c r="E26" s="40" t="s">
        <v>81</v>
      </c>
      <c r="F26" s="22">
        <v>270</v>
      </c>
      <c r="G26" s="42">
        <v>2000</v>
      </c>
      <c r="H26" s="23">
        <f>330+280+270</f>
        <v>880</v>
      </c>
      <c r="I26" s="22">
        <f>G26-H26</f>
        <v>1120</v>
      </c>
      <c r="J26" s="22" t="s">
        <v>16</v>
      </c>
      <c r="K26" s="24"/>
      <c r="L26" s="25"/>
    </row>
    <row r="27" spans="1:12" ht="15.75" x14ac:dyDescent="0.25">
      <c r="A27" s="20" t="s">
        <v>20</v>
      </c>
      <c r="B27" s="21" t="s">
        <v>1672</v>
      </c>
      <c r="C27" s="28" t="s">
        <v>34</v>
      </c>
      <c r="D27" s="66" t="s">
        <v>18</v>
      </c>
      <c r="E27" s="40" t="s">
        <v>1196</v>
      </c>
      <c r="F27" s="22">
        <v>4100</v>
      </c>
      <c r="G27" s="22">
        <v>150000</v>
      </c>
      <c r="H27" s="23">
        <f>3250+4100</f>
        <v>7350</v>
      </c>
      <c r="I27" s="22">
        <f>G27-H27</f>
        <v>142650</v>
      </c>
      <c r="J27" s="22" t="s">
        <v>16</v>
      </c>
      <c r="K27" s="24"/>
      <c r="L27" s="25"/>
    </row>
    <row r="28" spans="1:12" ht="16.5" thickBot="1" x14ac:dyDescent="0.3">
      <c r="A28" s="43"/>
      <c r="B28" s="44"/>
      <c r="C28" s="45"/>
      <c r="D28" s="67"/>
      <c r="E28" s="47"/>
      <c r="F28" s="48"/>
      <c r="G28" s="62"/>
      <c r="H28" s="49"/>
      <c r="I28" s="48"/>
      <c r="J28" s="48"/>
      <c r="K28" s="50"/>
      <c r="L28" s="51"/>
    </row>
    <row r="29" spans="1:12" ht="16.5" thickBot="1" x14ac:dyDescent="0.3">
      <c r="A29" s="71"/>
      <c r="B29" s="72"/>
      <c r="C29" s="73"/>
      <c r="D29" s="74"/>
      <c r="E29" s="75"/>
      <c r="F29" s="76"/>
      <c r="G29" s="76"/>
      <c r="H29" s="77"/>
      <c r="I29" s="76"/>
      <c r="J29" s="76"/>
      <c r="K29" s="78"/>
      <c r="L29" s="79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D58A-FB8C-4EAF-96B5-C32650472FC6}">
  <dimension ref="A1:W90"/>
  <sheetViews>
    <sheetView topLeftCell="E58" workbookViewId="0">
      <selection activeCell="E58" sqref="A1:XFD1048576"/>
    </sheetView>
  </sheetViews>
  <sheetFormatPr defaultRowHeight="15" x14ac:dyDescent="0.25"/>
  <sheetData>
    <row r="1" spans="1:23" x14ac:dyDescent="0.25">
      <c r="A1">
        <v>13.7</v>
      </c>
      <c r="B1">
        <v>15.9</v>
      </c>
      <c r="C1">
        <v>14.5</v>
      </c>
      <c r="D1">
        <v>16.2</v>
      </c>
      <c r="E1">
        <v>15.8</v>
      </c>
      <c r="F1">
        <v>14.6</v>
      </c>
      <c r="G1">
        <v>14.5</v>
      </c>
      <c r="H1">
        <v>15.1</v>
      </c>
      <c r="I1">
        <v>14.9</v>
      </c>
      <c r="J1">
        <v>14.9</v>
      </c>
      <c r="K1">
        <v>14.8</v>
      </c>
      <c r="L1">
        <v>15.1</v>
      </c>
      <c r="M1">
        <v>14.5</v>
      </c>
      <c r="N1">
        <v>14.7</v>
      </c>
      <c r="O1">
        <v>14.24</v>
      </c>
      <c r="P1">
        <v>15.1</v>
      </c>
      <c r="Q1">
        <v>14.4</v>
      </c>
      <c r="R1">
        <v>15.2</v>
      </c>
      <c r="S1">
        <v>16.8</v>
      </c>
      <c r="T1">
        <v>15.3</v>
      </c>
      <c r="U1">
        <v>16.899999999999999</v>
      </c>
      <c r="V1">
        <v>14.7</v>
      </c>
      <c r="W1">
        <v>15.7</v>
      </c>
    </row>
    <row r="2" spans="1:23" x14ac:dyDescent="0.25">
      <c r="A2">
        <v>14</v>
      </c>
      <c r="B2">
        <v>14.8</v>
      </c>
      <c r="C2">
        <v>14.4</v>
      </c>
      <c r="D2">
        <v>14.7</v>
      </c>
      <c r="E2">
        <v>15.6</v>
      </c>
      <c r="F2">
        <v>14.7</v>
      </c>
      <c r="G2">
        <v>14.5</v>
      </c>
      <c r="H2">
        <v>15.4</v>
      </c>
      <c r="I2">
        <v>13.9</v>
      </c>
      <c r="J2">
        <v>14.8</v>
      </c>
      <c r="K2">
        <v>14.8</v>
      </c>
      <c r="L2">
        <v>15.2</v>
      </c>
      <c r="M2">
        <v>15.5</v>
      </c>
      <c r="N2">
        <v>15.9</v>
      </c>
      <c r="O2">
        <v>14.3</v>
      </c>
      <c r="P2">
        <v>14.2</v>
      </c>
      <c r="Q2">
        <v>14.1</v>
      </c>
      <c r="R2">
        <v>15.2</v>
      </c>
      <c r="S2">
        <v>15.4</v>
      </c>
      <c r="T2">
        <v>15.3</v>
      </c>
      <c r="U2">
        <v>15.5</v>
      </c>
      <c r="V2">
        <v>15.6</v>
      </c>
      <c r="W2">
        <v>16.3</v>
      </c>
    </row>
    <row r="3" spans="1:23" x14ac:dyDescent="0.25">
      <c r="A3">
        <v>15.5</v>
      </c>
      <c r="B3">
        <v>14.2</v>
      </c>
      <c r="C3">
        <v>13.9</v>
      </c>
      <c r="D3">
        <v>15</v>
      </c>
      <c r="E3">
        <v>16</v>
      </c>
      <c r="F3">
        <v>14.9</v>
      </c>
      <c r="G3">
        <v>14.8</v>
      </c>
      <c r="H3">
        <v>14.6</v>
      </c>
      <c r="I3">
        <v>14.7</v>
      </c>
      <c r="J3">
        <v>14.7</v>
      </c>
      <c r="K3">
        <v>15.5</v>
      </c>
      <c r="L3">
        <v>15.9</v>
      </c>
      <c r="M3">
        <v>14.9</v>
      </c>
      <c r="N3">
        <v>15.1</v>
      </c>
      <c r="O3">
        <v>14</v>
      </c>
      <c r="P3">
        <v>13.9</v>
      </c>
      <c r="Q3">
        <v>14.5</v>
      </c>
      <c r="R3">
        <v>15.6</v>
      </c>
      <c r="S3">
        <v>16.2</v>
      </c>
      <c r="T3">
        <v>15.3</v>
      </c>
      <c r="U3">
        <v>13.5</v>
      </c>
      <c r="V3">
        <v>16.3</v>
      </c>
      <c r="W3">
        <v>13.9</v>
      </c>
    </row>
    <row r="4" spans="1:23" x14ac:dyDescent="0.25">
      <c r="A4">
        <v>15.9</v>
      </c>
      <c r="B4">
        <v>14.8</v>
      </c>
      <c r="C4">
        <v>14.5</v>
      </c>
      <c r="D4">
        <v>15.5</v>
      </c>
      <c r="E4">
        <v>15.6</v>
      </c>
      <c r="F4">
        <v>14.9</v>
      </c>
      <c r="G4">
        <v>14.4</v>
      </c>
      <c r="H4">
        <v>15.2</v>
      </c>
      <c r="I4">
        <v>16</v>
      </c>
      <c r="J4">
        <v>15.4</v>
      </c>
      <c r="K4">
        <v>16.2</v>
      </c>
      <c r="L4">
        <v>14.8</v>
      </c>
      <c r="M4">
        <v>14.6</v>
      </c>
      <c r="N4">
        <v>15.6</v>
      </c>
      <c r="O4">
        <v>13.9</v>
      </c>
      <c r="P4">
        <v>15.8</v>
      </c>
      <c r="Q4">
        <v>14.3</v>
      </c>
      <c r="R4">
        <v>15.5</v>
      </c>
      <c r="S4">
        <v>19.600000000000001</v>
      </c>
      <c r="T4">
        <v>15.3</v>
      </c>
      <c r="U4">
        <v>14.58</v>
      </c>
      <c r="V4">
        <v>15.1</v>
      </c>
      <c r="W4">
        <v>14.7</v>
      </c>
    </row>
    <row r="5" spans="1:23" x14ac:dyDescent="0.25">
      <c r="A5">
        <v>15</v>
      </c>
      <c r="B5">
        <v>14.4</v>
      </c>
      <c r="C5">
        <v>14.3</v>
      </c>
      <c r="D5">
        <v>15.7</v>
      </c>
      <c r="E5">
        <v>14.6</v>
      </c>
      <c r="F5">
        <v>14.8</v>
      </c>
      <c r="G5">
        <v>15.1</v>
      </c>
      <c r="H5">
        <v>14.5</v>
      </c>
      <c r="I5">
        <v>15.3</v>
      </c>
      <c r="J5">
        <v>15.3</v>
      </c>
      <c r="K5">
        <v>15.2</v>
      </c>
      <c r="L5">
        <v>15.8</v>
      </c>
      <c r="M5">
        <v>15.6</v>
      </c>
      <c r="N5">
        <v>14.9</v>
      </c>
      <c r="O5">
        <v>13.8</v>
      </c>
      <c r="P5">
        <v>14.9</v>
      </c>
      <c r="Q5">
        <v>14.5</v>
      </c>
      <c r="R5">
        <v>15.7</v>
      </c>
      <c r="S5">
        <v>14.6</v>
      </c>
      <c r="T5">
        <v>16.100000000000001</v>
      </c>
      <c r="U5">
        <v>13.2</v>
      </c>
      <c r="V5">
        <v>15.1</v>
      </c>
      <c r="W5">
        <v>15.5</v>
      </c>
    </row>
    <row r="6" spans="1:23" x14ac:dyDescent="0.25">
      <c r="A6">
        <v>14.8</v>
      </c>
      <c r="B6">
        <v>14.9</v>
      </c>
      <c r="C6">
        <v>13.9</v>
      </c>
      <c r="D6">
        <v>14.9</v>
      </c>
      <c r="E6">
        <v>15.1</v>
      </c>
      <c r="F6">
        <v>15.1</v>
      </c>
      <c r="G6">
        <v>14</v>
      </c>
      <c r="H6">
        <v>15.1</v>
      </c>
      <c r="I6">
        <v>16</v>
      </c>
      <c r="J6">
        <v>14.3</v>
      </c>
      <c r="K6">
        <v>15.8</v>
      </c>
      <c r="L6">
        <v>14.6</v>
      </c>
      <c r="M6">
        <v>15.5</v>
      </c>
      <c r="N6">
        <v>15.2</v>
      </c>
      <c r="O6">
        <v>14.4</v>
      </c>
      <c r="P6">
        <v>15.2</v>
      </c>
      <c r="Q6">
        <v>15</v>
      </c>
      <c r="R6">
        <v>15.8</v>
      </c>
      <c r="S6">
        <v>16.5</v>
      </c>
      <c r="T6">
        <v>15.2</v>
      </c>
      <c r="U6">
        <v>13.36</v>
      </c>
      <c r="V6">
        <v>14.7</v>
      </c>
      <c r="W6">
        <v>15.4</v>
      </c>
    </row>
    <row r="7" spans="1:23" x14ac:dyDescent="0.25">
      <c r="A7">
        <v>14.7</v>
      </c>
      <c r="B7">
        <v>15.5</v>
      </c>
      <c r="C7">
        <v>14.2</v>
      </c>
      <c r="D7">
        <v>16</v>
      </c>
      <c r="E7">
        <v>15.3</v>
      </c>
      <c r="F7">
        <v>15.7</v>
      </c>
      <c r="G7">
        <v>14.4</v>
      </c>
      <c r="H7">
        <v>15.1</v>
      </c>
      <c r="I7">
        <v>15.2</v>
      </c>
      <c r="J7">
        <v>15.1</v>
      </c>
      <c r="K7">
        <v>15.3</v>
      </c>
      <c r="L7">
        <v>16.2</v>
      </c>
      <c r="M7">
        <v>15.5</v>
      </c>
      <c r="N7">
        <v>14.5</v>
      </c>
      <c r="O7">
        <v>15.4</v>
      </c>
      <c r="P7">
        <v>15</v>
      </c>
      <c r="Q7">
        <v>14.4</v>
      </c>
      <c r="R7">
        <v>14.2</v>
      </c>
      <c r="S7">
        <v>15.5</v>
      </c>
      <c r="T7">
        <v>15.4</v>
      </c>
      <c r="U7">
        <v>16.899999999999999</v>
      </c>
      <c r="V7">
        <v>15.7</v>
      </c>
      <c r="W7">
        <v>15.9</v>
      </c>
    </row>
    <row r="8" spans="1:23" x14ac:dyDescent="0.25">
      <c r="A8">
        <v>14.3</v>
      </c>
      <c r="B8">
        <v>14.5</v>
      </c>
      <c r="C8">
        <v>14.4</v>
      </c>
      <c r="D8">
        <v>15.6</v>
      </c>
      <c r="E8">
        <v>16.2</v>
      </c>
      <c r="F8">
        <v>15</v>
      </c>
      <c r="G8">
        <v>15</v>
      </c>
      <c r="H8">
        <v>14.8</v>
      </c>
      <c r="I8">
        <v>15.2</v>
      </c>
      <c r="J8">
        <v>14.9</v>
      </c>
      <c r="K8">
        <v>14.6</v>
      </c>
      <c r="L8">
        <v>16</v>
      </c>
      <c r="M8">
        <v>14.6</v>
      </c>
      <c r="N8">
        <v>15.6</v>
      </c>
      <c r="O8">
        <v>14.9</v>
      </c>
      <c r="P8">
        <v>15.7</v>
      </c>
      <c r="Q8">
        <v>15.5</v>
      </c>
      <c r="R8">
        <v>16.100000000000001</v>
      </c>
      <c r="S8">
        <v>16.600000000000001</v>
      </c>
      <c r="T8">
        <v>15.4</v>
      </c>
      <c r="U8">
        <v>15</v>
      </c>
      <c r="V8">
        <v>15.6</v>
      </c>
      <c r="W8">
        <v>15.3</v>
      </c>
    </row>
    <row r="9" spans="1:23" x14ac:dyDescent="0.25">
      <c r="A9">
        <v>14.4</v>
      </c>
      <c r="B9">
        <v>14.2</v>
      </c>
      <c r="C9">
        <v>14.2</v>
      </c>
      <c r="D9">
        <v>15.9</v>
      </c>
      <c r="E9">
        <v>15.3</v>
      </c>
      <c r="F9">
        <v>15.1</v>
      </c>
      <c r="G9">
        <v>14.6</v>
      </c>
      <c r="H9">
        <v>14.7</v>
      </c>
      <c r="I9">
        <v>15.3</v>
      </c>
      <c r="J9">
        <v>13.3</v>
      </c>
      <c r="K9">
        <v>15.2</v>
      </c>
      <c r="L9">
        <v>15</v>
      </c>
      <c r="M9">
        <v>14.2</v>
      </c>
      <c r="N9">
        <v>15.5</v>
      </c>
      <c r="O9">
        <v>14.6</v>
      </c>
      <c r="P9">
        <v>16.399999999999999</v>
      </c>
      <c r="Q9">
        <v>16</v>
      </c>
      <c r="R9">
        <v>15.1</v>
      </c>
      <c r="S9">
        <v>15.1</v>
      </c>
      <c r="T9">
        <v>15.3</v>
      </c>
      <c r="U9">
        <v>13.4</v>
      </c>
      <c r="V9">
        <v>16.600000000000001</v>
      </c>
      <c r="W9">
        <v>15.2</v>
      </c>
    </row>
    <row r="10" spans="1:23" x14ac:dyDescent="0.25">
      <c r="A10">
        <v>14.7</v>
      </c>
      <c r="B10">
        <v>15.5</v>
      </c>
      <c r="C10">
        <v>14.4</v>
      </c>
      <c r="D10">
        <v>15.7</v>
      </c>
      <c r="E10">
        <v>15.4</v>
      </c>
      <c r="F10">
        <v>15.1</v>
      </c>
      <c r="G10">
        <v>14.6</v>
      </c>
      <c r="H10">
        <v>15.8</v>
      </c>
      <c r="I10">
        <v>15.4</v>
      </c>
      <c r="J10">
        <v>15.3</v>
      </c>
      <c r="K10">
        <v>14.8</v>
      </c>
      <c r="L10">
        <v>14.8</v>
      </c>
      <c r="M10">
        <v>15.3</v>
      </c>
      <c r="N10">
        <v>14.8</v>
      </c>
      <c r="O10">
        <v>15.3</v>
      </c>
      <c r="P10">
        <v>16.5</v>
      </c>
      <c r="Q10">
        <v>14.5</v>
      </c>
      <c r="R10">
        <v>15.1</v>
      </c>
      <c r="S10">
        <v>14.8</v>
      </c>
      <c r="T10">
        <v>15.3</v>
      </c>
      <c r="U10">
        <v>15</v>
      </c>
      <c r="V10">
        <v>15.3</v>
      </c>
      <c r="W10">
        <v>15.4</v>
      </c>
    </row>
    <row r="11" spans="1:23" x14ac:dyDescent="0.25">
      <c r="A11">
        <v>14.3</v>
      </c>
      <c r="B11">
        <v>15.1</v>
      </c>
      <c r="C11">
        <v>14.4</v>
      </c>
      <c r="D11">
        <v>15.7</v>
      </c>
      <c r="E11">
        <v>14.6</v>
      </c>
      <c r="F11">
        <v>15.4</v>
      </c>
      <c r="G11">
        <v>14.6</v>
      </c>
      <c r="H11">
        <v>16.399999999999999</v>
      </c>
      <c r="I11">
        <v>14.4</v>
      </c>
      <c r="J11">
        <v>14.6</v>
      </c>
      <c r="K11">
        <v>14</v>
      </c>
      <c r="L11">
        <v>15.8</v>
      </c>
      <c r="M11">
        <v>14</v>
      </c>
      <c r="N11">
        <v>16.100000000000001</v>
      </c>
      <c r="O11">
        <v>14.3</v>
      </c>
      <c r="P11">
        <v>14.9</v>
      </c>
      <c r="Q11">
        <v>16.100000000000001</v>
      </c>
      <c r="R11">
        <v>15.3</v>
      </c>
      <c r="S11">
        <v>15.4</v>
      </c>
      <c r="T11">
        <v>14.48</v>
      </c>
      <c r="U11">
        <v>15.4</v>
      </c>
      <c r="V11">
        <v>14.9</v>
      </c>
      <c r="W11">
        <v>15.5</v>
      </c>
    </row>
    <row r="12" spans="1:23" x14ac:dyDescent="0.25">
      <c r="A12">
        <v>15.5</v>
      </c>
      <c r="B12">
        <v>15.1</v>
      </c>
      <c r="C12">
        <v>14.7</v>
      </c>
      <c r="D12">
        <v>16</v>
      </c>
      <c r="E12">
        <v>14.3</v>
      </c>
      <c r="F12">
        <v>15.8</v>
      </c>
      <c r="G12">
        <v>15.2</v>
      </c>
      <c r="H12">
        <v>15.4</v>
      </c>
      <c r="I12">
        <v>14.4</v>
      </c>
      <c r="J12">
        <v>14.8</v>
      </c>
      <c r="K12">
        <v>14.6</v>
      </c>
      <c r="L12">
        <v>14.4</v>
      </c>
      <c r="M12">
        <v>14.5</v>
      </c>
      <c r="N12">
        <v>15</v>
      </c>
      <c r="O12">
        <v>14.8</v>
      </c>
      <c r="P12">
        <v>15</v>
      </c>
      <c r="Q12">
        <v>13.2</v>
      </c>
      <c r="R12">
        <v>16</v>
      </c>
      <c r="S12">
        <v>15.8</v>
      </c>
      <c r="T12">
        <v>16.52</v>
      </c>
      <c r="U12">
        <v>14.9</v>
      </c>
      <c r="V12">
        <v>15.4</v>
      </c>
      <c r="W12">
        <v>16.8</v>
      </c>
    </row>
    <row r="13" spans="1:23" x14ac:dyDescent="0.25">
      <c r="A13">
        <v>14.4</v>
      </c>
      <c r="B13">
        <v>15.3</v>
      </c>
      <c r="C13">
        <v>14.7</v>
      </c>
      <c r="D13">
        <v>15.2</v>
      </c>
      <c r="E13">
        <v>14.3</v>
      </c>
      <c r="F13">
        <v>15.2</v>
      </c>
      <c r="G13">
        <v>14.8</v>
      </c>
      <c r="H13">
        <v>16.2</v>
      </c>
      <c r="I13">
        <v>16.7</v>
      </c>
      <c r="J13">
        <v>14</v>
      </c>
      <c r="K13">
        <v>14.7</v>
      </c>
      <c r="L13">
        <v>14.1</v>
      </c>
      <c r="M13">
        <v>14.2</v>
      </c>
      <c r="N13">
        <v>15.4</v>
      </c>
      <c r="O13">
        <v>14.6</v>
      </c>
      <c r="P13">
        <v>14.5</v>
      </c>
      <c r="Q13">
        <v>13.6</v>
      </c>
      <c r="R13">
        <v>16.7</v>
      </c>
      <c r="S13">
        <v>15</v>
      </c>
      <c r="T13">
        <v>15.14</v>
      </c>
      <c r="U13">
        <v>14.7</v>
      </c>
      <c r="V13">
        <v>15.4</v>
      </c>
      <c r="W13">
        <v>15.2</v>
      </c>
    </row>
    <row r="14" spans="1:23" x14ac:dyDescent="0.25">
      <c r="A14">
        <v>15.5</v>
      </c>
      <c r="B14">
        <v>15.3</v>
      </c>
      <c r="C14">
        <v>14.5</v>
      </c>
      <c r="D14">
        <v>14.6</v>
      </c>
      <c r="E14">
        <v>14.1</v>
      </c>
      <c r="F14">
        <v>15.3</v>
      </c>
      <c r="G14">
        <v>14.7</v>
      </c>
      <c r="H14">
        <v>16</v>
      </c>
      <c r="I14">
        <v>14.6</v>
      </c>
      <c r="J14">
        <v>15.2</v>
      </c>
      <c r="K14">
        <v>15.7</v>
      </c>
      <c r="L14">
        <v>14.5</v>
      </c>
      <c r="M14">
        <v>14.8</v>
      </c>
      <c r="N14">
        <v>15.3</v>
      </c>
      <c r="O14">
        <v>16.7</v>
      </c>
      <c r="P14">
        <v>15</v>
      </c>
      <c r="Q14">
        <v>15</v>
      </c>
      <c r="R14">
        <v>15.4</v>
      </c>
      <c r="S14">
        <v>15.1</v>
      </c>
      <c r="T14">
        <v>16</v>
      </c>
      <c r="U14">
        <v>14.4</v>
      </c>
      <c r="V14">
        <v>14.9</v>
      </c>
      <c r="W14">
        <v>15.1</v>
      </c>
    </row>
    <row r="15" spans="1:23" x14ac:dyDescent="0.25">
      <c r="A15">
        <v>14.7</v>
      </c>
      <c r="B15">
        <v>15.6</v>
      </c>
      <c r="C15">
        <v>14.5</v>
      </c>
      <c r="D15">
        <v>15</v>
      </c>
      <c r="E15">
        <v>14</v>
      </c>
      <c r="F15">
        <v>15.2</v>
      </c>
      <c r="G15">
        <v>15.1</v>
      </c>
      <c r="H15">
        <v>15.1</v>
      </c>
      <c r="I15">
        <v>14.9</v>
      </c>
      <c r="J15">
        <v>14.3</v>
      </c>
      <c r="K15">
        <v>15.8</v>
      </c>
      <c r="L15">
        <v>14.3</v>
      </c>
      <c r="M15">
        <v>14.3</v>
      </c>
      <c r="N15">
        <v>13.9</v>
      </c>
      <c r="O15">
        <v>14.3</v>
      </c>
      <c r="P15">
        <v>15.3</v>
      </c>
      <c r="Q15">
        <v>14.4</v>
      </c>
      <c r="R15">
        <v>15.7</v>
      </c>
      <c r="S15">
        <v>16.3</v>
      </c>
      <c r="T15">
        <v>14.8</v>
      </c>
      <c r="U15">
        <v>14.4</v>
      </c>
      <c r="V15">
        <v>14.9</v>
      </c>
      <c r="W15">
        <v>15.2</v>
      </c>
    </row>
    <row r="16" spans="1:23" x14ac:dyDescent="0.25">
      <c r="A16">
        <v>14.7</v>
      </c>
      <c r="B16">
        <v>14.7</v>
      </c>
      <c r="C16">
        <v>14.4</v>
      </c>
      <c r="D16">
        <v>15.5</v>
      </c>
      <c r="E16">
        <v>15.8</v>
      </c>
      <c r="F16">
        <v>14.7</v>
      </c>
      <c r="G16">
        <v>17.100000000000001</v>
      </c>
      <c r="H16">
        <v>15.1</v>
      </c>
      <c r="I16">
        <v>16.8</v>
      </c>
      <c r="J16">
        <v>15.6</v>
      </c>
      <c r="K16">
        <v>14.6</v>
      </c>
      <c r="L16">
        <v>15.1</v>
      </c>
      <c r="M16">
        <v>14.7</v>
      </c>
      <c r="N16">
        <v>15.8</v>
      </c>
      <c r="O16">
        <v>14.2</v>
      </c>
      <c r="P16">
        <v>14.1</v>
      </c>
      <c r="Q16">
        <v>14</v>
      </c>
      <c r="R16">
        <v>15.4</v>
      </c>
      <c r="S16">
        <v>15.1</v>
      </c>
      <c r="T16">
        <v>14.8</v>
      </c>
      <c r="U16">
        <v>15.2</v>
      </c>
      <c r="V16">
        <v>16.3</v>
      </c>
      <c r="W16">
        <v>15.8</v>
      </c>
    </row>
    <row r="17" spans="1:23" x14ac:dyDescent="0.25">
      <c r="A17">
        <v>16.899999999999999</v>
      </c>
      <c r="B17">
        <v>14.9</v>
      </c>
      <c r="C17">
        <v>14.3</v>
      </c>
      <c r="D17">
        <v>14.7</v>
      </c>
      <c r="E17">
        <v>14.7</v>
      </c>
      <c r="F17">
        <v>15</v>
      </c>
      <c r="G17">
        <v>14.6</v>
      </c>
      <c r="H17">
        <v>14.9</v>
      </c>
      <c r="I17">
        <v>13.8</v>
      </c>
      <c r="J17">
        <v>14.6</v>
      </c>
      <c r="K17">
        <v>14.8</v>
      </c>
      <c r="L17">
        <v>13</v>
      </c>
      <c r="M17">
        <v>14.8</v>
      </c>
      <c r="N17">
        <v>15.5</v>
      </c>
      <c r="O17">
        <v>14.1</v>
      </c>
      <c r="P17">
        <v>16.5</v>
      </c>
      <c r="Q17">
        <v>13.9</v>
      </c>
      <c r="R17">
        <v>15.2</v>
      </c>
      <c r="S17">
        <v>15.6</v>
      </c>
      <c r="T17">
        <v>15.3</v>
      </c>
      <c r="U17">
        <v>14.52</v>
      </c>
      <c r="V17">
        <v>16.600000000000001</v>
      </c>
      <c r="W17">
        <v>16.48</v>
      </c>
    </row>
    <row r="18" spans="1:23" x14ac:dyDescent="0.25">
      <c r="A18">
        <v>14.3</v>
      </c>
      <c r="B18">
        <v>15.5</v>
      </c>
      <c r="C18">
        <v>14</v>
      </c>
      <c r="D18">
        <v>14.7</v>
      </c>
      <c r="E18">
        <v>14.3</v>
      </c>
      <c r="F18">
        <v>14.8</v>
      </c>
      <c r="G18">
        <v>14.5</v>
      </c>
      <c r="H18">
        <v>14.8</v>
      </c>
      <c r="I18">
        <v>15</v>
      </c>
      <c r="J18">
        <v>14.4</v>
      </c>
      <c r="K18">
        <v>15.8</v>
      </c>
      <c r="L18">
        <v>14.8</v>
      </c>
      <c r="M18">
        <v>15.1</v>
      </c>
      <c r="N18">
        <v>15.4</v>
      </c>
      <c r="O18">
        <v>15</v>
      </c>
      <c r="P18">
        <v>13.7</v>
      </c>
      <c r="Q18">
        <v>14.5</v>
      </c>
      <c r="R18">
        <v>15.3</v>
      </c>
      <c r="S18">
        <v>14.7</v>
      </c>
      <c r="T18">
        <v>15</v>
      </c>
      <c r="U18">
        <v>14.5</v>
      </c>
      <c r="V18">
        <v>14.2</v>
      </c>
      <c r="W18">
        <v>14.86</v>
      </c>
    </row>
    <row r="19" spans="1:23" x14ac:dyDescent="0.25">
      <c r="A19">
        <v>15.5</v>
      </c>
      <c r="B19">
        <v>14.1</v>
      </c>
      <c r="C19">
        <v>13.6</v>
      </c>
      <c r="D19">
        <v>15.4</v>
      </c>
      <c r="E19">
        <v>16.3</v>
      </c>
      <c r="F19">
        <v>15</v>
      </c>
      <c r="G19">
        <v>14.4</v>
      </c>
      <c r="H19">
        <v>14.5</v>
      </c>
      <c r="I19">
        <v>16.899999999999999</v>
      </c>
      <c r="J19">
        <v>14.6</v>
      </c>
      <c r="K19">
        <v>15.6</v>
      </c>
      <c r="L19">
        <v>15.1</v>
      </c>
      <c r="M19">
        <v>15.1</v>
      </c>
      <c r="N19">
        <v>15.3</v>
      </c>
      <c r="O19">
        <v>13.7</v>
      </c>
      <c r="P19">
        <v>14.8</v>
      </c>
      <c r="Q19">
        <v>14.6</v>
      </c>
      <c r="R19">
        <v>15.4</v>
      </c>
      <c r="S19">
        <v>14.6</v>
      </c>
      <c r="T19">
        <v>15.2</v>
      </c>
      <c r="U19">
        <v>14</v>
      </c>
      <c r="V19">
        <v>15.8</v>
      </c>
      <c r="W19">
        <v>15.7</v>
      </c>
    </row>
    <row r="20" spans="1:23" x14ac:dyDescent="0.25">
      <c r="A20">
        <v>17.8</v>
      </c>
      <c r="B20">
        <v>14.8</v>
      </c>
      <c r="C20">
        <v>14.4</v>
      </c>
      <c r="D20">
        <v>15</v>
      </c>
      <c r="E20">
        <v>15.2</v>
      </c>
      <c r="F20">
        <v>15.7</v>
      </c>
      <c r="G20">
        <v>15.1</v>
      </c>
      <c r="H20">
        <v>14</v>
      </c>
      <c r="I20">
        <v>15</v>
      </c>
      <c r="J20">
        <v>13.8</v>
      </c>
      <c r="K20">
        <v>15.5</v>
      </c>
      <c r="L20">
        <v>15</v>
      </c>
      <c r="M20">
        <v>14.4</v>
      </c>
      <c r="N20">
        <v>14.5</v>
      </c>
      <c r="O20">
        <v>14</v>
      </c>
      <c r="P20">
        <v>15.1</v>
      </c>
      <c r="Q20">
        <v>15.5</v>
      </c>
      <c r="R20">
        <v>15.2</v>
      </c>
      <c r="S20">
        <v>15.2</v>
      </c>
      <c r="T20">
        <v>15.9</v>
      </c>
      <c r="U20">
        <v>13.72</v>
      </c>
      <c r="V20">
        <v>14.7</v>
      </c>
      <c r="W20">
        <v>14.9</v>
      </c>
    </row>
    <row r="21" spans="1:23" x14ac:dyDescent="0.25">
      <c r="A21">
        <v>14.5</v>
      </c>
      <c r="B21">
        <v>14.4</v>
      </c>
      <c r="C21">
        <v>14.2</v>
      </c>
      <c r="D21">
        <v>15.8</v>
      </c>
      <c r="E21">
        <v>14.3</v>
      </c>
      <c r="F21">
        <v>15</v>
      </c>
      <c r="G21">
        <v>14.1</v>
      </c>
      <c r="H21">
        <v>15.1</v>
      </c>
      <c r="I21">
        <v>16.899999999999999</v>
      </c>
      <c r="J21">
        <v>14.6</v>
      </c>
      <c r="K21">
        <v>15.5</v>
      </c>
      <c r="L21">
        <v>15.6</v>
      </c>
      <c r="M21">
        <v>14.4</v>
      </c>
      <c r="N21">
        <v>15.9</v>
      </c>
      <c r="O21">
        <v>14</v>
      </c>
      <c r="P21">
        <v>15.2</v>
      </c>
      <c r="Q21">
        <v>14.4</v>
      </c>
      <c r="R21">
        <v>14.9</v>
      </c>
      <c r="S21">
        <v>15.1</v>
      </c>
      <c r="T21">
        <v>15.3</v>
      </c>
      <c r="U21">
        <v>14.6</v>
      </c>
      <c r="V21">
        <v>15.7</v>
      </c>
      <c r="W21">
        <v>15.9</v>
      </c>
    </row>
    <row r="22" spans="1:23" x14ac:dyDescent="0.25">
      <c r="A22">
        <v>15</v>
      </c>
      <c r="B22">
        <v>15.1</v>
      </c>
      <c r="C22">
        <v>14.3</v>
      </c>
      <c r="D22">
        <v>15.6</v>
      </c>
      <c r="E22">
        <v>13.7</v>
      </c>
      <c r="F22">
        <v>16.100000000000001</v>
      </c>
      <c r="G22">
        <v>15.2</v>
      </c>
      <c r="H22">
        <v>14.8</v>
      </c>
      <c r="I22">
        <v>15</v>
      </c>
      <c r="J22">
        <v>14.1</v>
      </c>
      <c r="K22">
        <v>15.2</v>
      </c>
      <c r="L22">
        <v>18.7</v>
      </c>
      <c r="M22">
        <v>15.6</v>
      </c>
      <c r="N22">
        <v>16.100000000000001</v>
      </c>
      <c r="O22">
        <v>14.4</v>
      </c>
      <c r="P22">
        <v>15.4</v>
      </c>
      <c r="Q22">
        <v>15.1</v>
      </c>
      <c r="R22">
        <v>15</v>
      </c>
      <c r="S22">
        <v>16</v>
      </c>
      <c r="T22">
        <v>15.6</v>
      </c>
      <c r="U22">
        <v>14.1</v>
      </c>
      <c r="V22">
        <v>16.600000000000001</v>
      </c>
      <c r="W22">
        <v>15.2</v>
      </c>
    </row>
    <row r="23" spans="1:23" x14ac:dyDescent="0.25">
      <c r="A23">
        <v>14.4</v>
      </c>
      <c r="B23">
        <v>16.899999999999999</v>
      </c>
      <c r="C23">
        <v>14.1</v>
      </c>
      <c r="D23">
        <v>15.7</v>
      </c>
      <c r="E23">
        <v>15.7</v>
      </c>
      <c r="F23">
        <v>15.6</v>
      </c>
      <c r="G23">
        <v>15.5</v>
      </c>
      <c r="H23">
        <v>15</v>
      </c>
      <c r="I23">
        <v>15.1</v>
      </c>
      <c r="J23">
        <v>14.8</v>
      </c>
      <c r="K23">
        <v>15</v>
      </c>
      <c r="L23">
        <v>15</v>
      </c>
      <c r="M23">
        <v>16.399999999999999</v>
      </c>
      <c r="N23">
        <v>15.5</v>
      </c>
      <c r="O23">
        <v>14.6</v>
      </c>
      <c r="P23">
        <v>15.9</v>
      </c>
      <c r="Q23">
        <v>16</v>
      </c>
      <c r="R23">
        <v>15.2</v>
      </c>
      <c r="S23">
        <v>14.9</v>
      </c>
      <c r="T23">
        <v>15.6</v>
      </c>
      <c r="U23">
        <v>15.9</v>
      </c>
      <c r="V23">
        <v>15.7</v>
      </c>
      <c r="W23">
        <v>15.4</v>
      </c>
    </row>
    <row r="24" spans="1:23" x14ac:dyDescent="0.25">
      <c r="A24">
        <v>14.6</v>
      </c>
      <c r="B24">
        <v>14.7</v>
      </c>
      <c r="C24">
        <v>14.9</v>
      </c>
      <c r="D24">
        <v>15.2</v>
      </c>
      <c r="E24">
        <v>15.2</v>
      </c>
      <c r="F24">
        <v>15.4</v>
      </c>
      <c r="G24">
        <v>16</v>
      </c>
      <c r="H24">
        <v>14.6</v>
      </c>
      <c r="I24">
        <v>14.8</v>
      </c>
      <c r="J24">
        <v>15</v>
      </c>
      <c r="K24">
        <v>15.7</v>
      </c>
      <c r="L24">
        <v>15.6</v>
      </c>
      <c r="M24">
        <v>14.1</v>
      </c>
      <c r="N24">
        <v>14.6</v>
      </c>
      <c r="O24">
        <v>15.7</v>
      </c>
      <c r="P24">
        <v>14.7</v>
      </c>
      <c r="Q24">
        <v>15.5</v>
      </c>
      <c r="R24">
        <v>15.1</v>
      </c>
      <c r="S24">
        <v>15.7</v>
      </c>
      <c r="T24">
        <v>14.4</v>
      </c>
      <c r="U24">
        <v>15.5</v>
      </c>
      <c r="V24">
        <v>15.3</v>
      </c>
      <c r="W24">
        <v>15.2</v>
      </c>
    </row>
    <row r="25" spans="1:23" x14ac:dyDescent="0.25">
      <c r="A25">
        <v>14.8</v>
      </c>
      <c r="B25">
        <v>14.2</v>
      </c>
      <c r="C25">
        <v>14.2</v>
      </c>
      <c r="D25">
        <v>15.4</v>
      </c>
      <c r="E25">
        <v>14</v>
      </c>
      <c r="F25">
        <v>15.4</v>
      </c>
      <c r="G25">
        <v>14.5</v>
      </c>
      <c r="H25">
        <v>14.8</v>
      </c>
      <c r="I25">
        <v>15.2</v>
      </c>
      <c r="J25">
        <v>14.6</v>
      </c>
      <c r="K25">
        <v>15.2</v>
      </c>
      <c r="L25">
        <v>15.2</v>
      </c>
      <c r="M25">
        <v>14.3</v>
      </c>
      <c r="N25">
        <v>14.6</v>
      </c>
      <c r="O25">
        <v>15.1</v>
      </c>
      <c r="P25">
        <v>14</v>
      </c>
      <c r="Q25">
        <v>15.4</v>
      </c>
      <c r="R25">
        <v>15.2</v>
      </c>
      <c r="S25">
        <v>16.2</v>
      </c>
      <c r="T25">
        <v>15.3</v>
      </c>
      <c r="U25">
        <v>14.9</v>
      </c>
      <c r="V25">
        <v>15.8</v>
      </c>
      <c r="W25">
        <v>15.6</v>
      </c>
    </row>
    <row r="26" spans="1:23" x14ac:dyDescent="0.25">
      <c r="A26">
        <v>14.5</v>
      </c>
      <c r="B26">
        <v>15.2</v>
      </c>
      <c r="C26">
        <v>14.8</v>
      </c>
      <c r="D26">
        <v>15.7</v>
      </c>
      <c r="E26">
        <v>14.4</v>
      </c>
      <c r="F26">
        <v>15.1</v>
      </c>
      <c r="G26">
        <v>14</v>
      </c>
      <c r="H26">
        <v>15.7</v>
      </c>
      <c r="I26">
        <v>14.5</v>
      </c>
      <c r="J26">
        <v>14.6</v>
      </c>
      <c r="K26">
        <v>15</v>
      </c>
      <c r="L26">
        <v>14.4</v>
      </c>
      <c r="M26">
        <v>14.1</v>
      </c>
      <c r="N26">
        <v>16.100000000000001</v>
      </c>
      <c r="O26">
        <v>14.1</v>
      </c>
      <c r="P26">
        <v>14.7</v>
      </c>
      <c r="Q26">
        <v>16.600000000000001</v>
      </c>
      <c r="R26">
        <v>15.5</v>
      </c>
      <c r="S26">
        <v>14.7</v>
      </c>
      <c r="T26">
        <v>15.6</v>
      </c>
      <c r="U26">
        <v>12.9</v>
      </c>
      <c r="V26">
        <v>14.6</v>
      </c>
      <c r="W26">
        <v>15.4</v>
      </c>
    </row>
    <row r="27" spans="1:23" x14ac:dyDescent="0.25">
      <c r="A27">
        <v>14.5</v>
      </c>
      <c r="B27">
        <v>15.4</v>
      </c>
      <c r="C27">
        <v>13.4</v>
      </c>
      <c r="D27">
        <v>15.5</v>
      </c>
      <c r="E27">
        <v>15.7</v>
      </c>
      <c r="F27">
        <v>15.3</v>
      </c>
      <c r="G27">
        <v>15</v>
      </c>
      <c r="H27">
        <v>16.8</v>
      </c>
      <c r="I27">
        <v>14.2</v>
      </c>
      <c r="J27">
        <v>14</v>
      </c>
      <c r="K27">
        <v>14.7</v>
      </c>
      <c r="L27">
        <v>14.3</v>
      </c>
      <c r="M27">
        <v>14</v>
      </c>
      <c r="N27">
        <v>15.7</v>
      </c>
      <c r="O27">
        <v>15.9</v>
      </c>
      <c r="P27">
        <v>15.9</v>
      </c>
      <c r="Q27">
        <v>13.8</v>
      </c>
      <c r="R27">
        <v>15</v>
      </c>
      <c r="S27">
        <v>14.8</v>
      </c>
      <c r="T27">
        <v>15.04</v>
      </c>
      <c r="U27">
        <v>14.1</v>
      </c>
      <c r="V27">
        <v>15.3</v>
      </c>
      <c r="W27">
        <v>15.3</v>
      </c>
    </row>
    <row r="28" spans="1:23" x14ac:dyDescent="0.25">
      <c r="A28">
        <v>14.5</v>
      </c>
      <c r="B28">
        <v>16</v>
      </c>
      <c r="C28">
        <v>14.6</v>
      </c>
      <c r="D28">
        <v>14.4</v>
      </c>
      <c r="E28">
        <v>14.1</v>
      </c>
      <c r="F28">
        <v>15.2</v>
      </c>
      <c r="G28">
        <v>14.6</v>
      </c>
      <c r="H28">
        <v>15.4</v>
      </c>
      <c r="I28">
        <v>14.6</v>
      </c>
      <c r="J28">
        <v>13.7</v>
      </c>
      <c r="K28">
        <v>14.5</v>
      </c>
      <c r="L28">
        <v>14</v>
      </c>
      <c r="M28">
        <v>14.6</v>
      </c>
      <c r="N28">
        <v>15.4</v>
      </c>
      <c r="O28">
        <v>14.6</v>
      </c>
      <c r="P28">
        <v>18.399999999999999</v>
      </c>
      <c r="Q28">
        <v>14.6</v>
      </c>
      <c r="R28">
        <v>15.8</v>
      </c>
      <c r="S28">
        <v>15.1</v>
      </c>
      <c r="T28">
        <v>15.4</v>
      </c>
      <c r="U28">
        <v>14.6</v>
      </c>
      <c r="V28">
        <v>15.2</v>
      </c>
      <c r="W28">
        <v>14.4</v>
      </c>
    </row>
    <row r="29" spans="1:23" x14ac:dyDescent="0.25">
      <c r="A29">
        <v>14.4</v>
      </c>
      <c r="B29">
        <v>15.6</v>
      </c>
      <c r="C29">
        <v>14.2</v>
      </c>
      <c r="D29">
        <v>14.5</v>
      </c>
      <c r="E29">
        <v>14.1</v>
      </c>
      <c r="F29">
        <v>14.9</v>
      </c>
      <c r="G29">
        <v>14.9</v>
      </c>
      <c r="H29">
        <v>15.2</v>
      </c>
      <c r="I29">
        <v>15.3</v>
      </c>
      <c r="J29">
        <v>14.3</v>
      </c>
      <c r="K29">
        <v>15.7</v>
      </c>
      <c r="L29">
        <v>14.5</v>
      </c>
      <c r="M29">
        <v>14.9</v>
      </c>
      <c r="N29">
        <v>16.100000000000001</v>
      </c>
      <c r="O29">
        <v>14.2</v>
      </c>
      <c r="P29">
        <v>17.899999999999999</v>
      </c>
      <c r="Q29">
        <v>15</v>
      </c>
      <c r="R29">
        <v>15</v>
      </c>
      <c r="S29">
        <v>14</v>
      </c>
      <c r="T29">
        <v>14.5</v>
      </c>
      <c r="U29">
        <v>14.7</v>
      </c>
      <c r="V29">
        <v>15</v>
      </c>
      <c r="W29">
        <v>15</v>
      </c>
    </row>
    <row r="30" spans="1:23" x14ac:dyDescent="0.25">
      <c r="A30">
        <v>13.7</v>
      </c>
      <c r="B30">
        <v>15.5</v>
      </c>
      <c r="C30">
        <v>14.4</v>
      </c>
      <c r="D30">
        <v>15.3</v>
      </c>
      <c r="E30">
        <v>14.8</v>
      </c>
      <c r="F30">
        <v>15.1</v>
      </c>
      <c r="G30">
        <v>14.9</v>
      </c>
      <c r="H30">
        <v>16</v>
      </c>
      <c r="I30">
        <v>14.3</v>
      </c>
      <c r="J30">
        <v>15.2</v>
      </c>
      <c r="K30">
        <v>14.7</v>
      </c>
      <c r="L30">
        <v>14.4</v>
      </c>
      <c r="M30">
        <v>14.4</v>
      </c>
      <c r="N30">
        <v>15.4</v>
      </c>
      <c r="O30">
        <v>15</v>
      </c>
      <c r="P30">
        <v>15.7</v>
      </c>
      <c r="Q30">
        <v>13.1</v>
      </c>
      <c r="R30">
        <v>15.5</v>
      </c>
      <c r="S30">
        <v>15.6</v>
      </c>
      <c r="T30">
        <v>14.8</v>
      </c>
      <c r="U30">
        <v>14.3</v>
      </c>
      <c r="V30">
        <v>15</v>
      </c>
      <c r="W30">
        <v>14.8</v>
      </c>
    </row>
    <row r="31" spans="1:23" x14ac:dyDescent="0.25">
      <c r="A31">
        <v>14.9</v>
      </c>
      <c r="B31">
        <v>16.8</v>
      </c>
      <c r="C31">
        <v>14.8</v>
      </c>
      <c r="D31">
        <v>14.5</v>
      </c>
      <c r="E31">
        <v>14.8</v>
      </c>
      <c r="F31">
        <v>14.7</v>
      </c>
      <c r="G31">
        <v>14.7</v>
      </c>
      <c r="H31">
        <v>15.4</v>
      </c>
      <c r="I31">
        <v>14.9</v>
      </c>
      <c r="J31">
        <v>14.6</v>
      </c>
      <c r="K31">
        <v>15</v>
      </c>
      <c r="L31">
        <v>13</v>
      </c>
      <c r="M31">
        <v>15.2</v>
      </c>
      <c r="N31">
        <v>15.9</v>
      </c>
      <c r="O31">
        <v>14.3</v>
      </c>
      <c r="P31">
        <v>13.7</v>
      </c>
      <c r="Q31">
        <v>15</v>
      </c>
      <c r="R31">
        <v>15.5</v>
      </c>
      <c r="S31">
        <v>13.9</v>
      </c>
      <c r="T31">
        <v>15.6</v>
      </c>
      <c r="U31">
        <v>17</v>
      </c>
      <c r="V31">
        <v>16.100000000000001</v>
      </c>
      <c r="W31">
        <v>15.8</v>
      </c>
    </row>
    <row r="32" spans="1:23" x14ac:dyDescent="0.25">
      <c r="A32">
        <v>14.6</v>
      </c>
      <c r="B32">
        <v>14.8</v>
      </c>
      <c r="C32">
        <v>14.4</v>
      </c>
      <c r="D32">
        <v>14.3</v>
      </c>
      <c r="E32">
        <v>15.4</v>
      </c>
      <c r="F32">
        <v>15.8</v>
      </c>
      <c r="G32">
        <v>14.3</v>
      </c>
      <c r="H32">
        <v>14.8</v>
      </c>
      <c r="I32">
        <v>14.6</v>
      </c>
      <c r="J32">
        <v>14.7</v>
      </c>
      <c r="K32">
        <v>14.8</v>
      </c>
      <c r="L32">
        <v>14.9</v>
      </c>
      <c r="M32">
        <v>14.3</v>
      </c>
      <c r="N32">
        <v>16</v>
      </c>
      <c r="O32">
        <v>14.2</v>
      </c>
      <c r="P32">
        <v>15.6</v>
      </c>
      <c r="Q32">
        <v>14.5</v>
      </c>
      <c r="R32">
        <v>15.2</v>
      </c>
      <c r="S32">
        <v>14.4</v>
      </c>
      <c r="T32">
        <v>15.3</v>
      </c>
      <c r="U32">
        <v>13.9</v>
      </c>
      <c r="V32">
        <v>15.6</v>
      </c>
      <c r="W32">
        <v>14.8</v>
      </c>
    </row>
    <row r="33" spans="1:23" x14ac:dyDescent="0.25">
      <c r="A33">
        <v>15.5</v>
      </c>
      <c r="B33">
        <v>14.4</v>
      </c>
      <c r="C33">
        <v>14.2</v>
      </c>
      <c r="D33">
        <v>14.3</v>
      </c>
      <c r="E33">
        <v>15.9</v>
      </c>
      <c r="F33">
        <v>14.3</v>
      </c>
      <c r="G33">
        <v>14.7</v>
      </c>
      <c r="H33">
        <v>14.7</v>
      </c>
      <c r="I33">
        <v>16.100000000000001</v>
      </c>
      <c r="J33">
        <v>14.4</v>
      </c>
      <c r="K33">
        <v>15.2</v>
      </c>
      <c r="L33">
        <v>15.2</v>
      </c>
      <c r="M33">
        <v>15.7</v>
      </c>
      <c r="N33">
        <v>15</v>
      </c>
      <c r="O33">
        <v>14.3</v>
      </c>
      <c r="P33">
        <v>14.2</v>
      </c>
      <c r="Q33">
        <v>14.2</v>
      </c>
      <c r="R33">
        <v>15</v>
      </c>
      <c r="S33">
        <v>15.3</v>
      </c>
      <c r="T33">
        <v>15.3</v>
      </c>
      <c r="U33">
        <v>14.1</v>
      </c>
      <c r="V33">
        <v>15.9</v>
      </c>
      <c r="W33">
        <v>15.94</v>
      </c>
    </row>
    <row r="34" spans="1:23" x14ac:dyDescent="0.25">
      <c r="A34">
        <v>15</v>
      </c>
      <c r="B34">
        <v>15.1</v>
      </c>
      <c r="C34">
        <v>14.2</v>
      </c>
      <c r="D34">
        <v>15.1</v>
      </c>
      <c r="E34">
        <v>15</v>
      </c>
      <c r="F34">
        <v>15.4</v>
      </c>
      <c r="G34">
        <v>14.5</v>
      </c>
      <c r="H34">
        <v>14.9</v>
      </c>
      <c r="I34">
        <v>15.8</v>
      </c>
      <c r="J34">
        <v>15.4</v>
      </c>
      <c r="K34">
        <v>15.7</v>
      </c>
      <c r="L34">
        <v>14.8</v>
      </c>
      <c r="M34">
        <v>14.9</v>
      </c>
      <c r="N34">
        <v>15.4</v>
      </c>
      <c r="O34">
        <v>13.8</v>
      </c>
      <c r="P34">
        <v>14.9</v>
      </c>
      <c r="Q34">
        <v>14.4</v>
      </c>
      <c r="R34">
        <v>15.8</v>
      </c>
      <c r="S34">
        <v>14.8</v>
      </c>
      <c r="T34">
        <v>15.2</v>
      </c>
      <c r="U34">
        <v>13.7</v>
      </c>
      <c r="V34">
        <v>15.5</v>
      </c>
      <c r="W34">
        <v>14.16</v>
      </c>
    </row>
    <row r="35" spans="1:23" x14ac:dyDescent="0.25">
      <c r="A35">
        <v>16</v>
      </c>
      <c r="B35">
        <v>14.6</v>
      </c>
      <c r="C35">
        <v>16.5</v>
      </c>
      <c r="D35">
        <v>15.7</v>
      </c>
      <c r="E35">
        <v>16.3</v>
      </c>
      <c r="F35">
        <v>15.6</v>
      </c>
      <c r="G35">
        <v>15.9</v>
      </c>
      <c r="H35">
        <v>14.7</v>
      </c>
      <c r="I35">
        <v>14.4</v>
      </c>
      <c r="J35">
        <v>15.4</v>
      </c>
      <c r="K35">
        <v>14.9</v>
      </c>
      <c r="L35">
        <v>15</v>
      </c>
      <c r="M35">
        <v>15.6</v>
      </c>
      <c r="N35">
        <v>15.4</v>
      </c>
      <c r="O35">
        <v>14.4</v>
      </c>
      <c r="P35">
        <v>14.5</v>
      </c>
      <c r="Q35">
        <v>14.4</v>
      </c>
      <c r="R35">
        <v>15.6</v>
      </c>
      <c r="S35">
        <v>14.7</v>
      </c>
      <c r="T35">
        <v>15.5</v>
      </c>
      <c r="U35">
        <v>14.08</v>
      </c>
      <c r="V35">
        <v>14.7</v>
      </c>
      <c r="W35">
        <v>15.7</v>
      </c>
    </row>
    <row r="36" spans="1:23" x14ac:dyDescent="0.25">
      <c r="A36">
        <v>15</v>
      </c>
      <c r="B36">
        <v>15.2</v>
      </c>
      <c r="C36">
        <v>14.3</v>
      </c>
      <c r="D36">
        <v>15.8</v>
      </c>
      <c r="E36">
        <v>14</v>
      </c>
      <c r="F36">
        <v>14.9</v>
      </c>
      <c r="G36">
        <v>14.1</v>
      </c>
      <c r="H36">
        <v>15.2</v>
      </c>
      <c r="I36">
        <v>15.8</v>
      </c>
      <c r="J36">
        <v>14.3</v>
      </c>
      <c r="K36">
        <v>15.5</v>
      </c>
      <c r="L36">
        <v>15</v>
      </c>
      <c r="M36">
        <v>16.100000000000001</v>
      </c>
      <c r="N36">
        <v>14.9</v>
      </c>
      <c r="O36">
        <v>14.3</v>
      </c>
      <c r="P36">
        <v>14.5</v>
      </c>
      <c r="Q36">
        <v>14.7</v>
      </c>
      <c r="R36">
        <v>15.3</v>
      </c>
      <c r="S36">
        <v>14.4</v>
      </c>
      <c r="T36">
        <v>15.3</v>
      </c>
      <c r="U36">
        <v>13.98</v>
      </c>
      <c r="V36">
        <v>14.7</v>
      </c>
      <c r="W36">
        <v>15.8</v>
      </c>
    </row>
    <row r="37" spans="1:23" x14ac:dyDescent="0.25">
      <c r="A37">
        <v>14.5</v>
      </c>
      <c r="B37">
        <v>16.600000000000001</v>
      </c>
      <c r="C37">
        <v>14.3</v>
      </c>
      <c r="D37">
        <v>15.6</v>
      </c>
      <c r="E37">
        <v>15</v>
      </c>
      <c r="F37">
        <v>15.1</v>
      </c>
      <c r="G37">
        <v>15</v>
      </c>
      <c r="H37">
        <v>14.8</v>
      </c>
      <c r="I37">
        <v>15.1</v>
      </c>
      <c r="J37">
        <v>14.9</v>
      </c>
      <c r="K37">
        <v>14.9</v>
      </c>
      <c r="L37">
        <v>15.4</v>
      </c>
      <c r="M37">
        <v>15.4</v>
      </c>
      <c r="N37">
        <v>15.1</v>
      </c>
      <c r="O37">
        <v>14.4</v>
      </c>
      <c r="P37">
        <v>14.9</v>
      </c>
      <c r="Q37">
        <v>15.1</v>
      </c>
      <c r="R37">
        <v>14.4</v>
      </c>
      <c r="S37">
        <v>15.1</v>
      </c>
      <c r="T37">
        <v>15.3</v>
      </c>
      <c r="U37">
        <v>13.35</v>
      </c>
      <c r="V37">
        <v>14.7</v>
      </c>
      <c r="W37">
        <v>15.3</v>
      </c>
    </row>
    <row r="38" spans="1:23" x14ac:dyDescent="0.25">
      <c r="A38">
        <v>14.6</v>
      </c>
      <c r="B38">
        <v>14.4</v>
      </c>
      <c r="C38">
        <v>14.3</v>
      </c>
      <c r="D38">
        <v>15.7</v>
      </c>
      <c r="E38">
        <v>15.6</v>
      </c>
      <c r="F38">
        <v>15.3</v>
      </c>
      <c r="G38">
        <v>15.5</v>
      </c>
      <c r="H38">
        <v>15.5</v>
      </c>
      <c r="I38">
        <v>15.9</v>
      </c>
      <c r="J38">
        <v>13</v>
      </c>
      <c r="K38">
        <v>14.7</v>
      </c>
      <c r="L38">
        <v>14.4</v>
      </c>
      <c r="M38">
        <v>14.5</v>
      </c>
      <c r="N38">
        <v>15.6</v>
      </c>
      <c r="O38">
        <v>14.9</v>
      </c>
      <c r="P38">
        <v>16.2</v>
      </c>
      <c r="Q38">
        <v>14.8</v>
      </c>
      <c r="R38">
        <v>15.2</v>
      </c>
      <c r="S38">
        <v>15.7</v>
      </c>
      <c r="T38">
        <v>15.8</v>
      </c>
      <c r="U38">
        <v>14.8</v>
      </c>
      <c r="V38">
        <v>15.7</v>
      </c>
      <c r="W38">
        <v>15.4</v>
      </c>
    </row>
    <row r="39" spans="1:23" x14ac:dyDescent="0.25">
      <c r="A39">
        <v>14.3</v>
      </c>
      <c r="B39">
        <v>14.2</v>
      </c>
      <c r="C39">
        <v>14.2</v>
      </c>
      <c r="D39">
        <v>15.7</v>
      </c>
      <c r="E39">
        <v>15.1</v>
      </c>
      <c r="F39">
        <v>15.3</v>
      </c>
      <c r="G39">
        <v>14.8</v>
      </c>
      <c r="H39">
        <v>14.8</v>
      </c>
      <c r="I39">
        <v>15.1</v>
      </c>
      <c r="J39">
        <v>15.8</v>
      </c>
      <c r="K39">
        <v>14.7</v>
      </c>
      <c r="L39">
        <v>14.8</v>
      </c>
      <c r="M39">
        <v>14.4</v>
      </c>
      <c r="N39">
        <v>15.2</v>
      </c>
      <c r="O39">
        <v>14.7</v>
      </c>
      <c r="P39">
        <v>14.7</v>
      </c>
      <c r="Q39">
        <v>16.899999999999999</v>
      </c>
      <c r="R39">
        <v>15.48</v>
      </c>
      <c r="S39">
        <v>14.4</v>
      </c>
      <c r="T39">
        <v>15.4</v>
      </c>
      <c r="U39">
        <v>15.39</v>
      </c>
      <c r="V39">
        <v>16.600000000000001</v>
      </c>
      <c r="W39">
        <v>15.2</v>
      </c>
    </row>
    <row r="40" spans="1:23" x14ac:dyDescent="0.25">
      <c r="A40">
        <v>14.4</v>
      </c>
      <c r="B40">
        <v>16.2</v>
      </c>
      <c r="C40">
        <v>14.4</v>
      </c>
      <c r="D40">
        <v>16.2</v>
      </c>
      <c r="E40">
        <v>16.600000000000001</v>
      </c>
      <c r="F40">
        <v>15.3</v>
      </c>
      <c r="G40">
        <v>14.5</v>
      </c>
      <c r="H40">
        <v>14.9</v>
      </c>
      <c r="I40">
        <v>15.3</v>
      </c>
      <c r="J40">
        <v>14.5</v>
      </c>
      <c r="K40">
        <v>15.1</v>
      </c>
      <c r="L40">
        <v>15.2</v>
      </c>
      <c r="M40">
        <v>15.6</v>
      </c>
      <c r="N40">
        <v>15</v>
      </c>
      <c r="O40">
        <v>15.8</v>
      </c>
      <c r="P40">
        <v>17.899999999999999</v>
      </c>
      <c r="Q40">
        <v>15.5</v>
      </c>
      <c r="R40">
        <v>14.9</v>
      </c>
      <c r="S40">
        <v>15.3</v>
      </c>
      <c r="T40">
        <v>15.5</v>
      </c>
      <c r="U40">
        <v>14.8</v>
      </c>
      <c r="V40">
        <v>15.9</v>
      </c>
      <c r="W40">
        <v>15.1</v>
      </c>
    </row>
    <row r="41" spans="1:23" x14ac:dyDescent="0.25">
      <c r="A41">
        <v>14.3</v>
      </c>
      <c r="B41">
        <v>15.2</v>
      </c>
      <c r="C41">
        <v>14.5</v>
      </c>
      <c r="D41">
        <v>15.8</v>
      </c>
      <c r="E41">
        <v>13.3</v>
      </c>
      <c r="F41">
        <v>15.6</v>
      </c>
      <c r="G41">
        <v>14.4</v>
      </c>
      <c r="H41">
        <v>15.9</v>
      </c>
      <c r="I41">
        <v>14.3</v>
      </c>
      <c r="J41">
        <v>14.9</v>
      </c>
      <c r="K41">
        <v>14.5</v>
      </c>
      <c r="L41">
        <v>15.9</v>
      </c>
      <c r="M41">
        <v>14.4</v>
      </c>
      <c r="N41">
        <v>15.7</v>
      </c>
      <c r="O41">
        <v>15.4</v>
      </c>
      <c r="P41">
        <v>14.7</v>
      </c>
      <c r="Q41">
        <v>13.7</v>
      </c>
      <c r="R41">
        <v>14.9</v>
      </c>
      <c r="S41">
        <v>15.7</v>
      </c>
      <c r="T41">
        <v>15.4</v>
      </c>
      <c r="U41">
        <v>14.9</v>
      </c>
      <c r="V41">
        <v>14.6</v>
      </c>
      <c r="W41">
        <v>15.2</v>
      </c>
    </row>
    <row r="42" spans="1:23" x14ac:dyDescent="0.25">
      <c r="A42">
        <v>14.8</v>
      </c>
      <c r="B42">
        <v>14.9</v>
      </c>
      <c r="C42">
        <v>14.4</v>
      </c>
      <c r="D42">
        <v>15.7</v>
      </c>
      <c r="E42">
        <v>14.6</v>
      </c>
      <c r="F42">
        <v>15.3</v>
      </c>
      <c r="G42">
        <v>15.3</v>
      </c>
      <c r="H42">
        <v>15.6</v>
      </c>
      <c r="I42">
        <v>14.1</v>
      </c>
      <c r="J42">
        <v>14.9</v>
      </c>
      <c r="K42">
        <v>15.7</v>
      </c>
      <c r="L42">
        <v>15.9</v>
      </c>
      <c r="M42">
        <v>14.4</v>
      </c>
      <c r="N42">
        <v>15.3</v>
      </c>
      <c r="O42">
        <v>15.2</v>
      </c>
      <c r="P42">
        <v>15.6</v>
      </c>
      <c r="Q42">
        <v>14</v>
      </c>
      <c r="R42">
        <v>14.9</v>
      </c>
      <c r="S42">
        <v>15.7</v>
      </c>
      <c r="T42">
        <v>15.46</v>
      </c>
      <c r="U42">
        <v>14.1</v>
      </c>
      <c r="V42">
        <v>15.1</v>
      </c>
      <c r="W42">
        <v>15.5</v>
      </c>
    </row>
    <row r="43" spans="1:23" x14ac:dyDescent="0.25">
      <c r="A43">
        <v>14.2</v>
      </c>
      <c r="B43">
        <v>15.3</v>
      </c>
      <c r="C43">
        <v>13.7</v>
      </c>
      <c r="D43">
        <v>14.9</v>
      </c>
      <c r="E43">
        <v>14.3</v>
      </c>
      <c r="F43">
        <v>15.2</v>
      </c>
      <c r="G43">
        <v>14.7</v>
      </c>
      <c r="H43">
        <v>15.6</v>
      </c>
      <c r="I43">
        <v>14.6</v>
      </c>
      <c r="J43">
        <v>15</v>
      </c>
      <c r="K43">
        <v>14.8</v>
      </c>
      <c r="L43">
        <v>14.4</v>
      </c>
      <c r="M43">
        <v>14.2</v>
      </c>
      <c r="N43">
        <v>14.9</v>
      </c>
      <c r="O43">
        <v>14.5</v>
      </c>
      <c r="P43">
        <v>14.5</v>
      </c>
      <c r="Q43">
        <v>15</v>
      </c>
      <c r="R43">
        <v>15.1</v>
      </c>
      <c r="S43">
        <v>14.7</v>
      </c>
      <c r="T43">
        <v>15.4</v>
      </c>
      <c r="U43">
        <v>14.6</v>
      </c>
      <c r="V43">
        <v>15.1</v>
      </c>
      <c r="W43">
        <v>15.9</v>
      </c>
    </row>
    <row r="44" spans="1:23" x14ac:dyDescent="0.25">
      <c r="A44">
        <v>15.5</v>
      </c>
      <c r="B44">
        <v>15.8</v>
      </c>
      <c r="C44">
        <v>14.5</v>
      </c>
      <c r="D44">
        <v>15.2</v>
      </c>
      <c r="E44">
        <v>14.8</v>
      </c>
      <c r="F44">
        <v>15.3</v>
      </c>
      <c r="G44">
        <v>15.2</v>
      </c>
      <c r="H44">
        <v>17</v>
      </c>
      <c r="I44">
        <v>14.8</v>
      </c>
      <c r="J44">
        <v>14.4</v>
      </c>
      <c r="K44">
        <v>14.7</v>
      </c>
      <c r="L44">
        <v>14.4</v>
      </c>
      <c r="M44">
        <v>14.6</v>
      </c>
      <c r="N44">
        <v>15.7</v>
      </c>
      <c r="O44">
        <v>13.7</v>
      </c>
      <c r="P44">
        <v>15.4</v>
      </c>
      <c r="Q44">
        <v>13.6</v>
      </c>
      <c r="R44">
        <v>16.8</v>
      </c>
      <c r="S44">
        <v>16</v>
      </c>
      <c r="T44">
        <v>15.4</v>
      </c>
      <c r="U44">
        <v>14.2</v>
      </c>
      <c r="V44">
        <v>14.8</v>
      </c>
      <c r="W44">
        <v>15.2</v>
      </c>
    </row>
    <row r="45" spans="1:23" x14ac:dyDescent="0.25">
      <c r="A45">
        <v>13.7</v>
      </c>
      <c r="B45">
        <v>15</v>
      </c>
      <c r="C45">
        <v>15.2</v>
      </c>
      <c r="D45">
        <v>15.2</v>
      </c>
      <c r="E45">
        <v>13.9</v>
      </c>
      <c r="F45">
        <v>15.5</v>
      </c>
      <c r="G45">
        <v>14.6</v>
      </c>
      <c r="H45">
        <v>16.3</v>
      </c>
      <c r="I45">
        <v>14.4</v>
      </c>
      <c r="J45">
        <v>15.9</v>
      </c>
      <c r="K45">
        <v>14.4</v>
      </c>
      <c r="L45">
        <v>14.2</v>
      </c>
      <c r="M45">
        <v>14.4</v>
      </c>
      <c r="N45">
        <v>15.6</v>
      </c>
      <c r="O45">
        <v>15.2</v>
      </c>
      <c r="P45">
        <v>16.8</v>
      </c>
      <c r="Q45">
        <v>14.5</v>
      </c>
      <c r="R45">
        <v>16.399999999999999</v>
      </c>
      <c r="S45">
        <v>14.4</v>
      </c>
      <c r="T45">
        <v>14.4</v>
      </c>
      <c r="U45">
        <v>14.7</v>
      </c>
      <c r="V45">
        <v>15.1</v>
      </c>
      <c r="W45">
        <v>14.2</v>
      </c>
    </row>
    <row r="46" spans="1:23" x14ac:dyDescent="0.25">
      <c r="A46">
        <v>14</v>
      </c>
      <c r="B46">
        <v>15</v>
      </c>
      <c r="C46">
        <v>15.3</v>
      </c>
      <c r="D46">
        <v>15</v>
      </c>
      <c r="E46">
        <v>14.9</v>
      </c>
      <c r="F46">
        <v>14.8</v>
      </c>
      <c r="G46">
        <v>14.2</v>
      </c>
      <c r="H46">
        <v>15.4</v>
      </c>
      <c r="I46">
        <v>14.9</v>
      </c>
      <c r="J46">
        <v>15.4</v>
      </c>
      <c r="K46">
        <v>14.7</v>
      </c>
      <c r="L46">
        <v>15.3</v>
      </c>
      <c r="M46">
        <v>14.9</v>
      </c>
      <c r="N46">
        <v>15.9</v>
      </c>
      <c r="O46">
        <v>14.2</v>
      </c>
      <c r="P46">
        <v>14</v>
      </c>
      <c r="Q46">
        <v>14.6</v>
      </c>
      <c r="R46">
        <v>14.6</v>
      </c>
      <c r="S46">
        <v>14.9</v>
      </c>
      <c r="T46">
        <v>15.2</v>
      </c>
      <c r="U46">
        <v>12.3</v>
      </c>
      <c r="V46">
        <v>15.3</v>
      </c>
      <c r="W46">
        <v>15.8</v>
      </c>
    </row>
    <row r="47" spans="1:23" x14ac:dyDescent="0.25">
      <c r="A47">
        <v>14.1</v>
      </c>
      <c r="B47">
        <v>14.8</v>
      </c>
      <c r="C47">
        <v>14.9</v>
      </c>
      <c r="D47">
        <v>14.16</v>
      </c>
      <c r="E47">
        <v>15.1</v>
      </c>
      <c r="F47">
        <v>14.9</v>
      </c>
      <c r="G47">
        <v>14.6</v>
      </c>
      <c r="H47">
        <v>15.3</v>
      </c>
      <c r="I47">
        <v>14.2</v>
      </c>
      <c r="J47">
        <v>14.7</v>
      </c>
      <c r="K47">
        <v>14.8</v>
      </c>
      <c r="L47">
        <v>15.4</v>
      </c>
      <c r="M47">
        <v>14.5</v>
      </c>
      <c r="N47">
        <v>15.6</v>
      </c>
      <c r="O47">
        <v>14.2</v>
      </c>
      <c r="P47">
        <v>14.4</v>
      </c>
      <c r="Q47">
        <v>14.5</v>
      </c>
      <c r="R47">
        <v>15.2</v>
      </c>
      <c r="S47">
        <v>14</v>
      </c>
      <c r="T47">
        <v>14.5</v>
      </c>
      <c r="U47">
        <v>14.1</v>
      </c>
      <c r="V47">
        <v>15.6</v>
      </c>
      <c r="W47">
        <v>14.52</v>
      </c>
    </row>
    <row r="48" spans="1:23" x14ac:dyDescent="0.25">
      <c r="A48">
        <v>14.6</v>
      </c>
      <c r="B48">
        <v>14.8</v>
      </c>
      <c r="C48">
        <v>15</v>
      </c>
      <c r="D48">
        <v>14.8</v>
      </c>
      <c r="E48">
        <v>15.6</v>
      </c>
      <c r="F48">
        <v>14.4</v>
      </c>
      <c r="G48">
        <v>14.4</v>
      </c>
      <c r="H48">
        <v>14.7</v>
      </c>
      <c r="I48">
        <v>16.100000000000001</v>
      </c>
      <c r="J48">
        <v>17.2</v>
      </c>
      <c r="K48">
        <v>16.100000000000001</v>
      </c>
      <c r="L48">
        <v>15.2</v>
      </c>
      <c r="M48">
        <v>13.7</v>
      </c>
      <c r="N48">
        <v>15.3</v>
      </c>
      <c r="O48">
        <v>14.3</v>
      </c>
      <c r="P48">
        <v>14.4</v>
      </c>
      <c r="Q48">
        <v>14.1</v>
      </c>
      <c r="R48">
        <v>15.4</v>
      </c>
      <c r="S48">
        <v>15.8</v>
      </c>
      <c r="T48">
        <v>15.2</v>
      </c>
      <c r="U48">
        <v>14.58</v>
      </c>
      <c r="V48">
        <v>15</v>
      </c>
      <c r="W48">
        <v>14.3</v>
      </c>
    </row>
    <row r="49" spans="1:23" x14ac:dyDescent="0.25">
      <c r="A49">
        <v>16</v>
      </c>
      <c r="B49">
        <v>14</v>
      </c>
      <c r="C49">
        <v>14.1</v>
      </c>
      <c r="D49">
        <v>16</v>
      </c>
      <c r="E49">
        <v>15.3</v>
      </c>
      <c r="F49">
        <v>15.6</v>
      </c>
      <c r="G49">
        <v>14</v>
      </c>
      <c r="H49">
        <v>14.6</v>
      </c>
      <c r="I49">
        <v>15.9</v>
      </c>
      <c r="J49">
        <v>14.9</v>
      </c>
      <c r="K49">
        <v>16.3</v>
      </c>
      <c r="L49">
        <v>14.9</v>
      </c>
      <c r="M49">
        <v>15</v>
      </c>
      <c r="N49">
        <v>14.3</v>
      </c>
      <c r="O49">
        <v>14.9</v>
      </c>
      <c r="P49">
        <v>14.7</v>
      </c>
      <c r="Q49">
        <v>16.600000000000001</v>
      </c>
      <c r="R49">
        <v>14.9</v>
      </c>
      <c r="S49">
        <v>15.7</v>
      </c>
      <c r="T49">
        <v>15.5</v>
      </c>
      <c r="U49">
        <v>13.88</v>
      </c>
      <c r="V49">
        <v>15.8</v>
      </c>
      <c r="W49">
        <v>15.7</v>
      </c>
    </row>
    <row r="50" spans="1:23" x14ac:dyDescent="0.25">
      <c r="A50">
        <v>14.9</v>
      </c>
      <c r="B50">
        <v>14.9</v>
      </c>
      <c r="C50">
        <v>14.2</v>
      </c>
      <c r="D50">
        <v>14.4</v>
      </c>
      <c r="E50">
        <v>15.4</v>
      </c>
      <c r="F50">
        <v>14.9</v>
      </c>
      <c r="G50">
        <v>15.4</v>
      </c>
      <c r="H50">
        <v>14.6</v>
      </c>
      <c r="I50">
        <v>14.3</v>
      </c>
      <c r="J50">
        <v>14.3</v>
      </c>
      <c r="K50">
        <v>17.2</v>
      </c>
      <c r="L50">
        <v>15</v>
      </c>
      <c r="M50">
        <v>15.7</v>
      </c>
      <c r="N50">
        <v>14.8</v>
      </c>
      <c r="O50">
        <v>14.2</v>
      </c>
      <c r="P50">
        <v>17</v>
      </c>
      <c r="Q50">
        <v>14.5</v>
      </c>
      <c r="R50">
        <v>15.5</v>
      </c>
      <c r="S50">
        <v>15.6</v>
      </c>
      <c r="T50">
        <v>16</v>
      </c>
      <c r="U50">
        <v>13.9</v>
      </c>
      <c r="V50">
        <v>14.9</v>
      </c>
      <c r="W50">
        <v>15.3</v>
      </c>
    </row>
    <row r="51" spans="1:23" x14ac:dyDescent="0.25">
      <c r="A51">
        <v>14.4</v>
      </c>
      <c r="B51">
        <v>15.2</v>
      </c>
      <c r="C51">
        <v>14.2</v>
      </c>
      <c r="D51">
        <v>15.6</v>
      </c>
      <c r="E51">
        <v>14.1</v>
      </c>
      <c r="F51">
        <v>15</v>
      </c>
      <c r="G51">
        <v>14.2</v>
      </c>
      <c r="H51">
        <v>15.2</v>
      </c>
      <c r="I51">
        <v>15.9</v>
      </c>
      <c r="J51">
        <v>14.8</v>
      </c>
      <c r="K51">
        <v>14.8</v>
      </c>
      <c r="L51">
        <v>14.2</v>
      </c>
      <c r="M51">
        <v>15.7</v>
      </c>
      <c r="N51">
        <v>15.5</v>
      </c>
      <c r="O51">
        <v>15.2</v>
      </c>
      <c r="P51">
        <v>14</v>
      </c>
      <c r="Q51">
        <v>15.7</v>
      </c>
      <c r="R51">
        <v>15.6</v>
      </c>
      <c r="S51">
        <v>17.399999999999999</v>
      </c>
      <c r="T51">
        <v>15.1</v>
      </c>
      <c r="U51">
        <v>12.98</v>
      </c>
      <c r="V51">
        <v>14.9</v>
      </c>
      <c r="W51">
        <v>15.6</v>
      </c>
    </row>
    <row r="52" spans="1:23" x14ac:dyDescent="0.25">
      <c r="A52">
        <v>14.6</v>
      </c>
      <c r="B52">
        <v>15.4</v>
      </c>
      <c r="C52">
        <v>14.4</v>
      </c>
      <c r="D52">
        <v>15.6</v>
      </c>
      <c r="E52">
        <v>15.6</v>
      </c>
      <c r="F52">
        <v>15.1</v>
      </c>
      <c r="G52">
        <v>15.2</v>
      </c>
      <c r="H52">
        <v>14.8</v>
      </c>
      <c r="I52">
        <v>15.1</v>
      </c>
      <c r="J52">
        <v>14.6</v>
      </c>
      <c r="K52">
        <v>14.8</v>
      </c>
      <c r="L52">
        <v>15</v>
      </c>
      <c r="M52">
        <v>15.4</v>
      </c>
      <c r="N52">
        <v>14.6</v>
      </c>
      <c r="O52">
        <v>13.9</v>
      </c>
      <c r="P52">
        <v>16.899999999999999</v>
      </c>
      <c r="Q52">
        <v>14.9</v>
      </c>
      <c r="R52">
        <v>15.3</v>
      </c>
      <c r="S52">
        <v>15.3</v>
      </c>
      <c r="T52">
        <v>15.5</v>
      </c>
      <c r="U52">
        <v>14.4</v>
      </c>
      <c r="V52">
        <v>15.7</v>
      </c>
      <c r="W52">
        <v>15.4</v>
      </c>
    </row>
    <row r="53" spans="1:23" x14ac:dyDescent="0.25">
      <c r="A53">
        <v>13.5</v>
      </c>
      <c r="B53">
        <v>14.4</v>
      </c>
      <c r="C53">
        <v>14.6</v>
      </c>
      <c r="D53">
        <v>15.8</v>
      </c>
      <c r="E53">
        <v>16</v>
      </c>
      <c r="F53">
        <v>15.1</v>
      </c>
      <c r="G53">
        <v>15.1</v>
      </c>
      <c r="H53">
        <v>15.2</v>
      </c>
      <c r="I53">
        <v>15.5</v>
      </c>
      <c r="J53">
        <v>13.9</v>
      </c>
      <c r="K53">
        <v>14.9</v>
      </c>
      <c r="L53">
        <v>15.4</v>
      </c>
      <c r="M53">
        <v>15.6</v>
      </c>
      <c r="N53">
        <v>14.9</v>
      </c>
      <c r="O53">
        <v>14.5</v>
      </c>
      <c r="P53">
        <v>15.7</v>
      </c>
      <c r="Q53">
        <v>15.1</v>
      </c>
      <c r="R53">
        <v>16.2</v>
      </c>
      <c r="S53">
        <v>15.5</v>
      </c>
      <c r="T53">
        <v>15.3</v>
      </c>
      <c r="U53">
        <v>16</v>
      </c>
      <c r="V53">
        <v>15.1</v>
      </c>
      <c r="W53">
        <v>15.3</v>
      </c>
    </row>
    <row r="54" spans="1:23" x14ac:dyDescent="0.25">
      <c r="A54">
        <v>15.2</v>
      </c>
      <c r="B54">
        <v>16.2</v>
      </c>
      <c r="C54">
        <v>14.5</v>
      </c>
      <c r="D54">
        <v>15.8</v>
      </c>
      <c r="E54">
        <v>15.1</v>
      </c>
      <c r="F54">
        <v>15.1</v>
      </c>
      <c r="G54">
        <v>14.5</v>
      </c>
      <c r="H54">
        <v>14.8</v>
      </c>
      <c r="I54">
        <v>14.8</v>
      </c>
      <c r="J54">
        <v>14.3</v>
      </c>
      <c r="K54">
        <v>15</v>
      </c>
      <c r="L54">
        <v>15.1</v>
      </c>
      <c r="M54">
        <v>13.9</v>
      </c>
      <c r="N54">
        <v>15.6</v>
      </c>
      <c r="O54">
        <v>14.4</v>
      </c>
      <c r="P54">
        <v>17.7</v>
      </c>
      <c r="Q54">
        <v>16.100000000000001</v>
      </c>
      <c r="R54">
        <v>14.84</v>
      </c>
      <c r="S54">
        <v>15.8</v>
      </c>
      <c r="T54">
        <v>15.8</v>
      </c>
      <c r="U54">
        <v>15</v>
      </c>
      <c r="V54">
        <v>15.6</v>
      </c>
      <c r="W54">
        <v>15.9</v>
      </c>
    </row>
    <row r="55" spans="1:23" x14ac:dyDescent="0.25">
      <c r="A55">
        <v>14.4</v>
      </c>
      <c r="B55">
        <v>14.3</v>
      </c>
      <c r="C55">
        <v>14.4</v>
      </c>
      <c r="D55">
        <v>16.2</v>
      </c>
      <c r="E55">
        <v>15.2</v>
      </c>
      <c r="F55">
        <v>15.6</v>
      </c>
      <c r="G55">
        <v>14.5</v>
      </c>
      <c r="H55">
        <v>17.2</v>
      </c>
      <c r="I55">
        <v>14.8</v>
      </c>
      <c r="J55">
        <v>14.7</v>
      </c>
      <c r="K55">
        <v>15</v>
      </c>
      <c r="L55">
        <v>15.4</v>
      </c>
      <c r="M55">
        <v>15.3</v>
      </c>
      <c r="N55">
        <v>14.9</v>
      </c>
      <c r="O55">
        <v>13.7</v>
      </c>
      <c r="P55">
        <v>16.100000000000001</v>
      </c>
      <c r="Q55">
        <v>17.100000000000001</v>
      </c>
      <c r="R55">
        <v>15</v>
      </c>
      <c r="S55">
        <v>15.6</v>
      </c>
      <c r="T55">
        <v>15.9</v>
      </c>
      <c r="U55">
        <v>15.7</v>
      </c>
      <c r="V55">
        <v>15.9</v>
      </c>
      <c r="W55">
        <v>15.5</v>
      </c>
    </row>
    <row r="56" spans="1:23" x14ac:dyDescent="0.25">
      <c r="A56">
        <v>14.1</v>
      </c>
      <c r="B56">
        <v>15.3</v>
      </c>
      <c r="C56">
        <v>14.6</v>
      </c>
      <c r="D56">
        <v>16.2</v>
      </c>
      <c r="E56">
        <v>14</v>
      </c>
      <c r="F56">
        <v>15.3</v>
      </c>
      <c r="G56">
        <v>15.5</v>
      </c>
      <c r="H56">
        <v>15.6</v>
      </c>
      <c r="I56">
        <v>14.2</v>
      </c>
      <c r="J56">
        <v>14.4</v>
      </c>
      <c r="K56">
        <v>14.7</v>
      </c>
      <c r="L56">
        <v>15.8</v>
      </c>
      <c r="M56">
        <v>14</v>
      </c>
      <c r="N56">
        <v>15.7</v>
      </c>
      <c r="O56">
        <v>14</v>
      </c>
      <c r="P56">
        <v>14.6</v>
      </c>
      <c r="Q56">
        <v>15.5</v>
      </c>
      <c r="R56">
        <v>14.5</v>
      </c>
      <c r="S56">
        <v>16</v>
      </c>
      <c r="T56">
        <v>15.12</v>
      </c>
      <c r="U56">
        <v>12</v>
      </c>
      <c r="V56">
        <v>15.3</v>
      </c>
      <c r="W56">
        <v>14.4</v>
      </c>
    </row>
    <row r="57" spans="1:23" x14ac:dyDescent="0.25">
      <c r="A57">
        <v>14.3</v>
      </c>
      <c r="B57">
        <v>15.6</v>
      </c>
      <c r="C57">
        <v>12.5</v>
      </c>
      <c r="D57">
        <v>17.2</v>
      </c>
      <c r="E57">
        <v>15.1</v>
      </c>
      <c r="F57">
        <v>15.6</v>
      </c>
      <c r="G57">
        <v>15.5</v>
      </c>
      <c r="H57">
        <v>14.7</v>
      </c>
      <c r="I57">
        <v>14.3</v>
      </c>
      <c r="J57">
        <v>15.9</v>
      </c>
      <c r="K57">
        <v>15.6</v>
      </c>
      <c r="L57">
        <v>16</v>
      </c>
      <c r="M57">
        <v>14.2</v>
      </c>
      <c r="N57">
        <v>14.9</v>
      </c>
      <c r="O57">
        <v>13.7</v>
      </c>
      <c r="P57">
        <v>15.1</v>
      </c>
      <c r="Q57">
        <v>15.4</v>
      </c>
      <c r="R57">
        <v>15.26</v>
      </c>
      <c r="S57">
        <v>15.8</v>
      </c>
      <c r="T57">
        <v>15.12</v>
      </c>
      <c r="U57">
        <v>14.1</v>
      </c>
      <c r="V57">
        <v>15.1</v>
      </c>
      <c r="W57">
        <v>14.8</v>
      </c>
    </row>
    <row r="58" spans="1:23" x14ac:dyDescent="0.25">
      <c r="A58">
        <v>14.6</v>
      </c>
      <c r="B58">
        <v>15.6</v>
      </c>
      <c r="C58">
        <v>14.8</v>
      </c>
      <c r="D58">
        <v>15.2</v>
      </c>
      <c r="E58">
        <v>14.1</v>
      </c>
      <c r="F58">
        <v>14.7</v>
      </c>
      <c r="G58">
        <v>14.7</v>
      </c>
      <c r="H58">
        <v>15.8</v>
      </c>
      <c r="I58">
        <v>14.9</v>
      </c>
      <c r="J58">
        <v>14.6</v>
      </c>
      <c r="K58">
        <v>15.5</v>
      </c>
      <c r="L58">
        <v>14.3</v>
      </c>
      <c r="M58">
        <v>14.1</v>
      </c>
      <c r="N58">
        <v>15</v>
      </c>
      <c r="O58">
        <v>14.2</v>
      </c>
      <c r="P58">
        <v>15.3</v>
      </c>
      <c r="Q58">
        <v>17.2</v>
      </c>
      <c r="R58">
        <v>16.600000000000001</v>
      </c>
      <c r="S58">
        <v>15</v>
      </c>
      <c r="T58">
        <v>15.16</v>
      </c>
      <c r="U58">
        <v>14.1</v>
      </c>
      <c r="V58">
        <v>15.2</v>
      </c>
      <c r="W58">
        <v>15.3</v>
      </c>
    </row>
    <row r="59" spans="1:23" x14ac:dyDescent="0.25">
      <c r="A59">
        <v>14.4</v>
      </c>
      <c r="B59">
        <v>15</v>
      </c>
      <c r="C59">
        <v>14.4</v>
      </c>
      <c r="D59">
        <v>15.2</v>
      </c>
      <c r="E59">
        <v>16</v>
      </c>
      <c r="F59">
        <v>15.2</v>
      </c>
      <c r="G59">
        <v>14.6</v>
      </c>
      <c r="H59">
        <v>15.6</v>
      </c>
      <c r="I59">
        <v>16</v>
      </c>
      <c r="J59">
        <v>14.8</v>
      </c>
      <c r="K59">
        <v>14.7</v>
      </c>
      <c r="L59">
        <v>14.3</v>
      </c>
      <c r="M59">
        <v>14.6</v>
      </c>
      <c r="N59">
        <v>15.5</v>
      </c>
      <c r="O59">
        <v>15.3</v>
      </c>
      <c r="P59">
        <v>14.9</v>
      </c>
      <c r="Q59">
        <v>17.399999999999999</v>
      </c>
      <c r="R59">
        <v>14.3</v>
      </c>
      <c r="S59">
        <v>14.8</v>
      </c>
      <c r="T59">
        <v>15</v>
      </c>
      <c r="U59">
        <v>14.2</v>
      </c>
      <c r="V59">
        <v>15.2</v>
      </c>
      <c r="W59">
        <v>15</v>
      </c>
    </row>
    <row r="60" spans="1:23" x14ac:dyDescent="0.25">
      <c r="A60">
        <v>14.2</v>
      </c>
      <c r="B60">
        <v>14</v>
      </c>
      <c r="C60">
        <v>14.7</v>
      </c>
      <c r="D60">
        <v>15.1</v>
      </c>
      <c r="E60">
        <v>14.3</v>
      </c>
      <c r="F60">
        <v>15.3</v>
      </c>
      <c r="G60">
        <v>14.6</v>
      </c>
      <c r="H60">
        <v>16.7</v>
      </c>
      <c r="I60">
        <v>14.3</v>
      </c>
      <c r="J60">
        <v>14</v>
      </c>
      <c r="K60">
        <v>15.5</v>
      </c>
      <c r="L60">
        <v>14.4</v>
      </c>
      <c r="M60">
        <v>14.4</v>
      </c>
      <c r="N60">
        <v>15.9</v>
      </c>
      <c r="O60">
        <v>15</v>
      </c>
      <c r="P60">
        <v>15.8</v>
      </c>
      <c r="Q60">
        <v>15.9</v>
      </c>
      <c r="R60">
        <v>14.4</v>
      </c>
      <c r="S60">
        <v>15.2</v>
      </c>
      <c r="T60">
        <v>14.7</v>
      </c>
      <c r="U60">
        <v>14.1</v>
      </c>
      <c r="V60">
        <v>15.3</v>
      </c>
      <c r="W60">
        <v>15.3</v>
      </c>
    </row>
    <row r="61" spans="1:23" x14ac:dyDescent="0.25">
      <c r="A61">
        <v>13.3</v>
      </c>
      <c r="B61">
        <v>14.8</v>
      </c>
      <c r="C61">
        <v>15.8</v>
      </c>
      <c r="D61">
        <v>15.5</v>
      </c>
      <c r="E61">
        <v>14.2</v>
      </c>
      <c r="F61">
        <v>14.9</v>
      </c>
      <c r="G61">
        <v>14.8</v>
      </c>
      <c r="H61">
        <v>14.8</v>
      </c>
      <c r="I61">
        <v>16.100000000000001</v>
      </c>
      <c r="J61">
        <v>14.4</v>
      </c>
      <c r="K61">
        <v>14.6</v>
      </c>
      <c r="L61">
        <v>15.3</v>
      </c>
      <c r="M61">
        <v>15.4</v>
      </c>
      <c r="N61">
        <v>14.6</v>
      </c>
      <c r="O61">
        <v>14.5</v>
      </c>
      <c r="P61">
        <v>15.9</v>
      </c>
      <c r="Q61">
        <v>15</v>
      </c>
      <c r="R61">
        <v>15</v>
      </c>
      <c r="S61">
        <v>19.2</v>
      </c>
      <c r="T61">
        <v>15.9</v>
      </c>
      <c r="U61">
        <v>16</v>
      </c>
      <c r="V61">
        <v>15.7</v>
      </c>
      <c r="W61">
        <v>15.7</v>
      </c>
    </row>
    <row r="62" spans="1:23" x14ac:dyDescent="0.25">
      <c r="A62">
        <v>15</v>
      </c>
      <c r="B62">
        <v>14.5</v>
      </c>
      <c r="C62">
        <v>14</v>
      </c>
      <c r="D62">
        <v>14.6</v>
      </c>
      <c r="E62">
        <v>14.8</v>
      </c>
      <c r="F62">
        <v>15.2</v>
      </c>
      <c r="G62">
        <v>15.1</v>
      </c>
      <c r="H62">
        <v>15.4</v>
      </c>
      <c r="I62">
        <v>14.2</v>
      </c>
      <c r="J62">
        <v>14.9</v>
      </c>
      <c r="K62">
        <v>14.7</v>
      </c>
      <c r="L62">
        <v>14.8</v>
      </c>
      <c r="M62">
        <v>14.8</v>
      </c>
      <c r="N62">
        <v>16.8</v>
      </c>
      <c r="O62">
        <v>14.2</v>
      </c>
      <c r="P62">
        <v>15.7</v>
      </c>
      <c r="Q62">
        <v>13.8</v>
      </c>
      <c r="R62">
        <v>15.3</v>
      </c>
      <c r="S62">
        <v>14.5</v>
      </c>
      <c r="T62">
        <v>15.3</v>
      </c>
      <c r="U62">
        <v>13.2</v>
      </c>
      <c r="V62">
        <v>15.8</v>
      </c>
      <c r="W62">
        <v>14.36</v>
      </c>
    </row>
    <row r="63" spans="1:23" x14ac:dyDescent="0.25">
      <c r="A63">
        <v>14.4</v>
      </c>
      <c r="B63">
        <v>14.4</v>
      </c>
      <c r="C63">
        <v>14.3</v>
      </c>
      <c r="D63">
        <v>14.9</v>
      </c>
      <c r="E63">
        <v>16.5</v>
      </c>
      <c r="F63">
        <v>15.4</v>
      </c>
      <c r="G63">
        <v>14.6</v>
      </c>
      <c r="H63">
        <v>14.7</v>
      </c>
      <c r="I63">
        <v>15.8</v>
      </c>
      <c r="J63">
        <v>14.8</v>
      </c>
      <c r="K63">
        <v>15</v>
      </c>
      <c r="L63">
        <v>18.7</v>
      </c>
      <c r="M63">
        <v>14.5</v>
      </c>
      <c r="N63">
        <v>15.4</v>
      </c>
      <c r="O63">
        <v>14.2</v>
      </c>
      <c r="P63">
        <v>13.7</v>
      </c>
      <c r="Q63">
        <v>14.6</v>
      </c>
      <c r="R63">
        <v>15.5</v>
      </c>
      <c r="S63">
        <v>15.7</v>
      </c>
      <c r="T63">
        <v>15.3</v>
      </c>
      <c r="U63">
        <v>14.3</v>
      </c>
      <c r="V63">
        <v>17</v>
      </c>
      <c r="W63">
        <v>14.4</v>
      </c>
    </row>
    <row r="64" spans="1:23" x14ac:dyDescent="0.25">
      <c r="A64">
        <v>14.8</v>
      </c>
      <c r="B64">
        <v>15.1</v>
      </c>
      <c r="C64">
        <v>13.9</v>
      </c>
      <c r="D64">
        <v>15</v>
      </c>
      <c r="E64">
        <v>15.2</v>
      </c>
      <c r="F64">
        <v>15.6</v>
      </c>
      <c r="G64">
        <v>14.2</v>
      </c>
      <c r="H64">
        <v>14.5</v>
      </c>
      <c r="I64">
        <v>15.6</v>
      </c>
      <c r="J64">
        <v>15</v>
      </c>
      <c r="K64">
        <v>16.3</v>
      </c>
      <c r="L64">
        <v>15</v>
      </c>
      <c r="M64">
        <v>14.7</v>
      </c>
      <c r="N64">
        <v>15.3</v>
      </c>
      <c r="O64">
        <v>15.9</v>
      </c>
      <c r="P64">
        <v>14.6</v>
      </c>
      <c r="Q64">
        <v>14.7</v>
      </c>
      <c r="R64">
        <v>15.3</v>
      </c>
      <c r="S64">
        <v>16</v>
      </c>
      <c r="T64">
        <v>16.7</v>
      </c>
      <c r="U64">
        <v>14.1</v>
      </c>
      <c r="V64">
        <v>14.9</v>
      </c>
      <c r="W64">
        <v>15.8</v>
      </c>
    </row>
    <row r="65" spans="1:23" x14ac:dyDescent="0.25">
      <c r="A65">
        <v>15.4</v>
      </c>
      <c r="B65">
        <v>15.2</v>
      </c>
      <c r="C65">
        <v>14.4</v>
      </c>
      <c r="D65">
        <v>16.2</v>
      </c>
      <c r="E65">
        <v>15.4</v>
      </c>
      <c r="F65">
        <v>14.5</v>
      </c>
      <c r="G65">
        <v>14.9</v>
      </c>
      <c r="H65">
        <v>14.9</v>
      </c>
      <c r="I65">
        <v>14.2</v>
      </c>
      <c r="J65">
        <v>15.2</v>
      </c>
      <c r="K65">
        <v>15.5</v>
      </c>
      <c r="L65">
        <v>15</v>
      </c>
      <c r="M65">
        <v>15.9</v>
      </c>
      <c r="N65">
        <v>15.8</v>
      </c>
      <c r="O65">
        <v>14.3</v>
      </c>
      <c r="P65">
        <v>15.1</v>
      </c>
      <c r="Q65">
        <v>14.7</v>
      </c>
      <c r="R65">
        <v>14.3</v>
      </c>
      <c r="S65">
        <v>15.2</v>
      </c>
      <c r="T65">
        <v>15.7</v>
      </c>
      <c r="U65">
        <v>13.3</v>
      </c>
      <c r="V65">
        <v>14.9</v>
      </c>
      <c r="W65">
        <v>15.4</v>
      </c>
    </row>
    <row r="66" spans="1:23" x14ac:dyDescent="0.25">
      <c r="A66">
        <v>14.9</v>
      </c>
      <c r="B66">
        <v>14.7</v>
      </c>
      <c r="C66">
        <v>16.399999999999999</v>
      </c>
      <c r="D66">
        <v>15.9</v>
      </c>
      <c r="E66">
        <v>14</v>
      </c>
      <c r="F66">
        <v>14.8</v>
      </c>
      <c r="G66">
        <v>14.5</v>
      </c>
      <c r="H66">
        <v>15.1</v>
      </c>
      <c r="I66">
        <v>15.6</v>
      </c>
      <c r="J66">
        <v>15</v>
      </c>
      <c r="K66">
        <v>14.6</v>
      </c>
      <c r="L66">
        <v>15.4</v>
      </c>
      <c r="M66">
        <v>15.7</v>
      </c>
      <c r="N66">
        <v>15.2</v>
      </c>
      <c r="O66">
        <v>13.6</v>
      </c>
      <c r="P66">
        <v>15.7</v>
      </c>
      <c r="Q66">
        <v>14.5</v>
      </c>
      <c r="R66">
        <v>14.6</v>
      </c>
      <c r="S66">
        <v>15.5</v>
      </c>
      <c r="T66">
        <v>15.3</v>
      </c>
      <c r="U66">
        <v>13.72</v>
      </c>
      <c r="V66">
        <v>16.100000000000001</v>
      </c>
      <c r="W66">
        <v>15.4</v>
      </c>
    </row>
    <row r="67" spans="1:23" x14ac:dyDescent="0.25">
      <c r="A67">
        <v>15.4</v>
      </c>
      <c r="B67">
        <v>14.3</v>
      </c>
      <c r="C67">
        <v>14.4</v>
      </c>
      <c r="D67">
        <v>16.600000000000001</v>
      </c>
      <c r="E67">
        <v>15.6</v>
      </c>
      <c r="F67">
        <v>15.3</v>
      </c>
      <c r="G67">
        <v>15.4</v>
      </c>
      <c r="H67">
        <v>14.8</v>
      </c>
      <c r="I67">
        <v>14.7</v>
      </c>
      <c r="J67">
        <v>14.2</v>
      </c>
      <c r="K67">
        <v>16</v>
      </c>
      <c r="L67">
        <v>15.5</v>
      </c>
      <c r="M67">
        <v>16.3</v>
      </c>
      <c r="N67">
        <v>15.2</v>
      </c>
      <c r="O67">
        <v>14.6</v>
      </c>
      <c r="P67">
        <v>16.399999999999999</v>
      </c>
      <c r="Q67">
        <v>16.2</v>
      </c>
      <c r="R67">
        <v>14.5</v>
      </c>
      <c r="S67">
        <v>15.7</v>
      </c>
      <c r="T67">
        <v>15.3</v>
      </c>
      <c r="U67">
        <v>13.92</v>
      </c>
      <c r="V67">
        <v>16.2</v>
      </c>
      <c r="W67">
        <v>15.3</v>
      </c>
    </row>
    <row r="68" spans="1:23" x14ac:dyDescent="0.25">
      <c r="A68">
        <v>14.3</v>
      </c>
      <c r="B68">
        <v>14.8</v>
      </c>
      <c r="C68">
        <v>14.6</v>
      </c>
      <c r="D68">
        <v>16.3</v>
      </c>
      <c r="E68">
        <v>16.399999999999999</v>
      </c>
      <c r="F68">
        <v>15.1</v>
      </c>
      <c r="G68">
        <v>14.9</v>
      </c>
      <c r="H68">
        <v>15.1</v>
      </c>
      <c r="I68">
        <v>14.7</v>
      </c>
      <c r="J68">
        <v>13.7</v>
      </c>
      <c r="K68">
        <v>15</v>
      </c>
      <c r="L68">
        <v>15</v>
      </c>
      <c r="M68">
        <v>14.4</v>
      </c>
      <c r="N68">
        <v>14.8</v>
      </c>
      <c r="O68">
        <v>17.100000000000001</v>
      </c>
      <c r="P68">
        <v>16.8</v>
      </c>
      <c r="Q68">
        <v>14.9</v>
      </c>
      <c r="R68">
        <v>15.8</v>
      </c>
      <c r="S68">
        <v>15.3</v>
      </c>
      <c r="T68">
        <v>15.6</v>
      </c>
      <c r="U68">
        <v>13.88</v>
      </c>
      <c r="V68">
        <v>15.1</v>
      </c>
      <c r="W68">
        <v>15.2</v>
      </c>
    </row>
    <row r="69" spans="1:23" x14ac:dyDescent="0.25">
      <c r="A69">
        <v>14.6</v>
      </c>
      <c r="B69">
        <v>15.2</v>
      </c>
      <c r="C69">
        <v>14.3</v>
      </c>
      <c r="D69">
        <v>15.4</v>
      </c>
      <c r="E69">
        <v>15.3</v>
      </c>
      <c r="F69">
        <v>14.9</v>
      </c>
      <c r="G69">
        <v>14.4</v>
      </c>
      <c r="H69">
        <v>14.8</v>
      </c>
      <c r="I69">
        <v>15.1</v>
      </c>
      <c r="J69">
        <v>14.8</v>
      </c>
      <c r="K69">
        <v>14.9</v>
      </c>
      <c r="L69">
        <v>14.9</v>
      </c>
      <c r="M69">
        <v>13.9</v>
      </c>
      <c r="N69">
        <v>15.4</v>
      </c>
      <c r="O69">
        <v>14.3</v>
      </c>
      <c r="P69">
        <v>14.3</v>
      </c>
      <c r="Q69">
        <v>16.100000000000001</v>
      </c>
      <c r="R69">
        <v>16.100000000000001</v>
      </c>
      <c r="S69">
        <v>16.2</v>
      </c>
      <c r="T69">
        <v>15.7</v>
      </c>
      <c r="U69">
        <v>15.6</v>
      </c>
      <c r="V69">
        <v>16.3</v>
      </c>
      <c r="W69">
        <v>15.6</v>
      </c>
    </row>
    <row r="70" spans="1:23" x14ac:dyDescent="0.25">
      <c r="A70">
        <v>14.9</v>
      </c>
      <c r="B70">
        <v>14</v>
      </c>
      <c r="C70">
        <v>14.2</v>
      </c>
      <c r="D70">
        <v>15.7</v>
      </c>
      <c r="E70">
        <v>15.6</v>
      </c>
      <c r="F70">
        <v>15.6</v>
      </c>
      <c r="G70">
        <v>14.4</v>
      </c>
      <c r="H70">
        <v>15.2</v>
      </c>
      <c r="I70">
        <v>14.7</v>
      </c>
      <c r="J70">
        <v>13.8</v>
      </c>
      <c r="K70">
        <v>14.6</v>
      </c>
      <c r="L70">
        <v>15.9</v>
      </c>
      <c r="M70">
        <v>14.2</v>
      </c>
      <c r="N70">
        <v>15.6</v>
      </c>
      <c r="O70">
        <v>13.7</v>
      </c>
      <c r="P70">
        <v>17.899999999999999</v>
      </c>
      <c r="Q70">
        <v>15.8</v>
      </c>
      <c r="R70">
        <v>14.9</v>
      </c>
      <c r="S70">
        <v>15.8</v>
      </c>
      <c r="T70">
        <v>16.3</v>
      </c>
      <c r="U70">
        <v>15.2</v>
      </c>
      <c r="V70">
        <v>16.3</v>
      </c>
      <c r="W70">
        <v>15.5</v>
      </c>
    </row>
    <row r="71" spans="1:23" x14ac:dyDescent="0.25">
      <c r="A71">
        <v>15</v>
      </c>
      <c r="B71">
        <v>16</v>
      </c>
      <c r="C71">
        <v>14.3</v>
      </c>
      <c r="D71">
        <v>15.3</v>
      </c>
      <c r="E71">
        <v>17</v>
      </c>
      <c r="F71">
        <v>15.3</v>
      </c>
      <c r="G71">
        <v>15.2</v>
      </c>
      <c r="H71">
        <v>15.9</v>
      </c>
      <c r="I71">
        <v>14.1</v>
      </c>
      <c r="J71">
        <v>16.399999999999999</v>
      </c>
      <c r="K71">
        <v>14.8</v>
      </c>
      <c r="L71">
        <v>14</v>
      </c>
      <c r="M71">
        <v>14.3</v>
      </c>
      <c r="N71">
        <v>15.3</v>
      </c>
      <c r="O71">
        <v>14.1</v>
      </c>
      <c r="P71">
        <v>16</v>
      </c>
      <c r="Q71">
        <v>14.2</v>
      </c>
      <c r="R71">
        <v>15</v>
      </c>
      <c r="S71">
        <v>16.2</v>
      </c>
      <c r="T71">
        <v>16</v>
      </c>
      <c r="U71">
        <v>14.8</v>
      </c>
      <c r="V71">
        <v>15.5</v>
      </c>
      <c r="W71">
        <v>15.3</v>
      </c>
    </row>
    <row r="72" spans="1:23" x14ac:dyDescent="0.25">
      <c r="A72">
        <v>14.4</v>
      </c>
      <c r="B72">
        <v>13.4</v>
      </c>
      <c r="C72">
        <v>14.7</v>
      </c>
      <c r="D72">
        <v>15.1</v>
      </c>
      <c r="E72">
        <v>14.1</v>
      </c>
      <c r="F72">
        <v>15.5</v>
      </c>
      <c r="G72">
        <v>14.1</v>
      </c>
      <c r="H72">
        <v>15.7</v>
      </c>
      <c r="I72">
        <v>14.4</v>
      </c>
      <c r="J72">
        <v>14.8</v>
      </c>
      <c r="K72">
        <v>14.7</v>
      </c>
      <c r="L72">
        <v>15.2</v>
      </c>
      <c r="M72">
        <v>16.600000000000001</v>
      </c>
      <c r="N72">
        <v>15.7</v>
      </c>
      <c r="O72">
        <v>15.4</v>
      </c>
      <c r="P72">
        <v>15</v>
      </c>
      <c r="Q72">
        <v>14.3</v>
      </c>
      <c r="R72">
        <v>15</v>
      </c>
      <c r="S72">
        <v>15.1</v>
      </c>
      <c r="T72">
        <v>15.52</v>
      </c>
      <c r="U72">
        <v>13.7</v>
      </c>
      <c r="V72">
        <v>15.1</v>
      </c>
      <c r="W72">
        <v>14.2</v>
      </c>
    </row>
    <row r="73" spans="1:23" x14ac:dyDescent="0.25">
      <c r="A73">
        <v>14.5</v>
      </c>
      <c r="B73">
        <v>15.3</v>
      </c>
      <c r="C73">
        <v>14.3</v>
      </c>
      <c r="D73">
        <v>14.5</v>
      </c>
      <c r="E73">
        <v>14.4</v>
      </c>
      <c r="F73">
        <v>14.9</v>
      </c>
      <c r="G73">
        <v>14.6</v>
      </c>
      <c r="H73">
        <v>15.9</v>
      </c>
      <c r="I73">
        <v>14.4</v>
      </c>
      <c r="J73">
        <v>14.2</v>
      </c>
      <c r="K73">
        <v>14.7</v>
      </c>
      <c r="L73">
        <v>14.6</v>
      </c>
      <c r="M73">
        <v>14.5</v>
      </c>
      <c r="N73">
        <v>14.9</v>
      </c>
      <c r="O73">
        <v>14.1</v>
      </c>
      <c r="P73">
        <v>14.6</v>
      </c>
      <c r="Q73">
        <v>14.4</v>
      </c>
      <c r="R73">
        <v>14.6</v>
      </c>
      <c r="S73">
        <v>15.3</v>
      </c>
      <c r="T73">
        <v>15.4</v>
      </c>
      <c r="U73">
        <v>14</v>
      </c>
      <c r="V73">
        <v>15.4</v>
      </c>
      <c r="W73">
        <v>15.2</v>
      </c>
    </row>
    <row r="74" spans="1:23" x14ac:dyDescent="0.25">
      <c r="A74">
        <v>14.5</v>
      </c>
      <c r="B74">
        <v>14.6</v>
      </c>
      <c r="C74">
        <v>14.5</v>
      </c>
      <c r="D74">
        <v>15.2</v>
      </c>
      <c r="E74">
        <v>14.6</v>
      </c>
      <c r="F74">
        <v>15.3</v>
      </c>
      <c r="G74">
        <v>14.9</v>
      </c>
      <c r="H74">
        <v>15.7</v>
      </c>
      <c r="I74">
        <v>14.3</v>
      </c>
      <c r="J74">
        <v>14.4</v>
      </c>
      <c r="K74">
        <v>15.7</v>
      </c>
      <c r="L74">
        <v>14.4</v>
      </c>
      <c r="M74">
        <v>13.8</v>
      </c>
      <c r="N74">
        <v>15.8</v>
      </c>
      <c r="O74">
        <v>15.1</v>
      </c>
      <c r="P74">
        <v>15</v>
      </c>
      <c r="Q74">
        <v>16</v>
      </c>
      <c r="R74">
        <v>14.6</v>
      </c>
      <c r="S74">
        <v>15.2</v>
      </c>
      <c r="T74">
        <v>14.7</v>
      </c>
      <c r="U74">
        <v>14.1</v>
      </c>
      <c r="V74">
        <v>14.9</v>
      </c>
      <c r="W74">
        <v>15.2</v>
      </c>
    </row>
    <row r="75" spans="1:23" x14ac:dyDescent="0.25">
      <c r="A75">
        <v>13.9</v>
      </c>
      <c r="B75">
        <v>14.9</v>
      </c>
      <c r="C75">
        <v>14.8</v>
      </c>
      <c r="D75">
        <v>15.4</v>
      </c>
      <c r="E75">
        <v>13.9</v>
      </c>
      <c r="F75">
        <v>15.3</v>
      </c>
      <c r="G75">
        <v>14.9</v>
      </c>
      <c r="H75">
        <v>15.3</v>
      </c>
      <c r="I75">
        <v>14.1</v>
      </c>
      <c r="J75">
        <v>15.2</v>
      </c>
      <c r="K75">
        <v>15.7</v>
      </c>
      <c r="L75">
        <v>14.1</v>
      </c>
      <c r="M75">
        <v>14.4</v>
      </c>
      <c r="N75">
        <v>16.100000000000001</v>
      </c>
      <c r="O75">
        <v>14.9</v>
      </c>
      <c r="P75">
        <v>13.8</v>
      </c>
      <c r="Q75">
        <v>17.100000000000001</v>
      </c>
      <c r="R75">
        <v>14.4</v>
      </c>
      <c r="S75">
        <v>15.2</v>
      </c>
      <c r="T75">
        <v>14.8</v>
      </c>
      <c r="U75">
        <v>14.4</v>
      </c>
      <c r="V75">
        <v>15.3</v>
      </c>
      <c r="W75">
        <v>14.8</v>
      </c>
    </row>
    <row r="76" spans="1:23" x14ac:dyDescent="0.25">
      <c r="A76">
        <v>13.6</v>
      </c>
      <c r="B76">
        <v>14.7</v>
      </c>
      <c r="C76">
        <v>15.2</v>
      </c>
      <c r="D76">
        <v>14.7</v>
      </c>
      <c r="E76">
        <v>15.7</v>
      </c>
      <c r="F76">
        <v>14.4</v>
      </c>
      <c r="G76">
        <v>15</v>
      </c>
      <c r="H76">
        <v>15.2</v>
      </c>
      <c r="I76">
        <v>14.6</v>
      </c>
      <c r="J76">
        <v>15.6</v>
      </c>
      <c r="K76">
        <v>15.2</v>
      </c>
      <c r="L76">
        <v>15.3</v>
      </c>
      <c r="M76">
        <v>15.3</v>
      </c>
      <c r="N76">
        <v>15.8</v>
      </c>
      <c r="O76">
        <v>14.3</v>
      </c>
      <c r="P76">
        <v>17.100000000000001</v>
      </c>
      <c r="Q76">
        <v>14.8</v>
      </c>
      <c r="R76">
        <v>15.1</v>
      </c>
      <c r="S76">
        <v>15.7</v>
      </c>
      <c r="T76">
        <v>15.4</v>
      </c>
      <c r="U76">
        <v>14.5</v>
      </c>
      <c r="V76">
        <v>15.5</v>
      </c>
      <c r="W76">
        <v>15.8</v>
      </c>
    </row>
    <row r="77" spans="1:23" x14ac:dyDescent="0.25">
      <c r="A77">
        <v>15.6</v>
      </c>
      <c r="B77">
        <v>14.6</v>
      </c>
      <c r="C77">
        <v>14</v>
      </c>
      <c r="D77">
        <v>15.5</v>
      </c>
      <c r="E77">
        <v>15.6</v>
      </c>
      <c r="F77">
        <v>14.7</v>
      </c>
      <c r="G77">
        <v>14.4</v>
      </c>
      <c r="H77">
        <v>14.7</v>
      </c>
      <c r="I77">
        <v>13.8</v>
      </c>
      <c r="J77">
        <v>14.4</v>
      </c>
      <c r="K77">
        <v>15</v>
      </c>
      <c r="L77">
        <v>15.8</v>
      </c>
      <c r="M77">
        <v>15</v>
      </c>
      <c r="N77">
        <v>14.4</v>
      </c>
      <c r="O77">
        <v>14.5</v>
      </c>
      <c r="P77">
        <v>14.6</v>
      </c>
      <c r="Q77">
        <v>14.5</v>
      </c>
      <c r="R77">
        <v>15.4</v>
      </c>
      <c r="S77">
        <v>14.9</v>
      </c>
      <c r="T77">
        <v>15</v>
      </c>
      <c r="U77">
        <v>12.72</v>
      </c>
      <c r="V77">
        <v>15.6</v>
      </c>
      <c r="W77">
        <v>14.42</v>
      </c>
    </row>
    <row r="78" spans="1:23" x14ac:dyDescent="0.25">
      <c r="A78">
        <v>15.8</v>
      </c>
      <c r="B78">
        <v>14.7</v>
      </c>
      <c r="C78">
        <v>14.8</v>
      </c>
      <c r="D78">
        <v>14.6</v>
      </c>
      <c r="E78">
        <v>16.5</v>
      </c>
      <c r="F78">
        <v>14.9</v>
      </c>
      <c r="G78">
        <v>14.8</v>
      </c>
      <c r="H78">
        <v>14.6</v>
      </c>
      <c r="I78">
        <v>15.1</v>
      </c>
      <c r="J78">
        <v>15</v>
      </c>
      <c r="K78">
        <v>16.100000000000001</v>
      </c>
      <c r="L78">
        <v>15.4</v>
      </c>
      <c r="M78">
        <v>14.7</v>
      </c>
      <c r="N78">
        <v>14.1</v>
      </c>
      <c r="O78">
        <v>14.4</v>
      </c>
      <c r="P78">
        <v>14.5</v>
      </c>
      <c r="Q78">
        <v>15.2</v>
      </c>
      <c r="R78">
        <v>15.3</v>
      </c>
      <c r="S78">
        <v>15.7</v>
      </c>
      <c r="T78">
        <v>15.3</v>
      </c>
      <c r="U78">
        <v>14.08</v>
      </c>
      <c r="V78">
        <v>16</v>
      </c>
      <c r="W78">
        <v>16</v>
      </c>
    </row>
    <row r="79" spans="1:23" x14ac:dyDescent="0.25">
      <c r="A79">
        <v>14.5</v>
      </c>
      <c r="B79">
        <v>14.4</v>
      </c>
      <c r="C79">
        <v>13.9</v>
      </c>
      <c r="D79">
        <v>15.2</v>
      </c>
      <c r="E79">
        <v>14.9</v>
      </c>
      <c r="F79">
        <v>15.9</v>
      </c>
      <c r="G79">
        <v>14.2</v>
      </c>
      <c r="H79">
        <v>14.7</v>
      </c>
      <c r="I79">
        <v>15.7</v>
      </c>
      <c r="J79">
        <v>14.5</v>
      </c>
      <c r="K79">
        <v>15</v>
      </c>
      <c r="L79">
        <v>15</v>
      </c>
      <c r="M79">
        <v>15.7</v>
      </c>
      <c r="N79">
        <v>15.9</v>
      </c>
      <c r="O79">
        <v>14</v>
      </c>
      <c r="P79">
        <v>14.1</v>
      </c>
      <c r="Q79">
        <v>14.4</v>
      </c>
      <c r="R79">
        <v>15.1</v>
      </c>
      <c r="S79">
        <v>14.4</v>
      </c>
      <c r="T79">
        <v>15.6</v>
      </c>
      <c r="U79">
        <v>15.1</v>
      </c>
      <c r="V79">
        <v>16.100000000000001</v>
      </c>
      <c r="W79">
        <v>14.3</v>
      </c>
    </row>
    <row r="80" spans="1:23" x14ac:dyDescent="0.25">
      <c r="A80">
        <v>15.7</v>
      </c>
      <c r="B80">
        <v>14.6</v>
      </c>
      <c r="C80">
        <v>16.5</v>
      </c>
      <c r="D80">
        <v>16.5</v>
      </c>
      <c r="E80">
        <v>15.2</v>
      </c>
      <c r="F80">
        <v>15.5</v>
      </c>
      <c r="G80">
        <v>15.9</v>
      </c>
      <c r="H80">
        <v>15.1</v>
      </c>
      <c r="I80">
        <v>14.4</v>
      </c>
      <c r="J80">
        <v>15.8</v>
      </c>
      <c r="K80">
        <v>15</v>
      </c>
      <c r="L80">
        <v>15.2</v>
      </c>
      <c r="M80">
        <v>14.5</v>
      </c>
      <c r="N80">
        <v>15</v>
      </c>
      <c r="O80">
        <v>14.1</v>
      </c>
      <c r="P80">
        <v>17</v>
      </c>
      <c r="Q80">
        <v>14.7</v>
      </c>
      <c r="R80">
        <v>14.8</v>
      </c>
      <c r="S80">
        <v>14.7</v>
      </c>
      <c r="T80">
        <v>14.6</v>
      </c>
      <c r="U80">
        <v>14.5</v>
      </c>
      <c r="V80">
        <v>15.1</v>
      </c>
      <c r="W80">
        <v>15.6</v>
      </c>
    </row>
    <row r="81" spans="1:23" x14ac:dyDescent="0.25">
      <c r="A81">
        <v>14.6</v>
      </c>
      <c r="B81">
        <v>14.9</v>
      </c>
      <c r="C81">
        <v>14.2</v>
      </c>
      <c r="D81">
        <v>15.7</v>
      </c>
      <c r="E81">
        <v>13.9</v>
      </c>
      <c r="F81">
        <v>15</v>
      </c>
      <c r="G81">
        <v>14.2</v>
      </c>
      <c r="H81">
        <v>14.9</v>
      </c>
      <c r="I81">
        <v>15.7</v>
      </c>
      <c r="J81">
        <v>14.3</v>
      </c>
      <c r="K81">
        <v>15.6</v>
      </c>
      <c r="L81">
        <v>16</v>
      </c>
      <c r="M81">
        <v>15.7</v>
      </c>
      <c r="N81">
        <v>15.3</v>
      </c>
      <c r="O81">
        <v>14</v>
      </c>
      <c r="P81">
        <v>15.5</v>
      </c>
      <c r="Q81">
        <v>14.5</v>
      </c>
      <c r="R81">
        <v>14.4</v>
      </c>
      <c r="S81">
        <v>16.399999999999999</v>
      </c>
      <c r="T81">
        <v>15.3</v>
      </c>
      <c r="U81">
        <v>13.72</v>
      </c>
      <c r="V81">
        <v>14.2</v>
      </c>
      <c r="W81">
        <v>15</v>
      </c>
    </row>
    <row r="82" spans="1:23" x14ac:dyDescent="0.25">
      <c r="A82">
        <v>14.4</v>
      </c>
      <c r="B82">
        <v>14.7</v>
      </c>
      <c r="C82">
        <v>14.7</v>
      </c>
      <c r="D82">
        <v>14.7</v>
      </c>
      <c r="E82">
        <v>15.6</v>
      </c>
      <c r="F82">
        <v>15</v>
      </c>
      <c r="G82">
        <v>14.9</v>
      </c>
      <c r="H82">
        <v>14.7</v>
      </c>
      <c r="I82">
        <v>15.5</v>
      </c>
      <c r="J82">
        <v>15.5</v>
      </c>
      <c r="K82">
        <v>14.9</v>
      </c>
      <c r="L82">
        <v>14.5</v>
      </c>
      <c r="M82">
        <v>16.100000000000001</v>
      </c>
      <c r="N82">
        <v>15.2</v>
      </c>
      <c r="O82">
        <v>16</v>
      </c>
      <c r="P82">
        <v>15.3</v>
      </c>
      <c r="Q82">
        <v>15.7</v>
      </c>
      <c r="R82">
        <v>14.3</v>
      </c>
      <c r="S82">
        <v>14.4</v>
      </c>
      <c r="T82">
        <v>15.2</v>
      </c>
      <c r="U82">
        <v>15.2</v>
      </c>
      <c r="V82">
        <v>15.7</v>
      </c>
      <c r="W82">
        <v>15.8</v>
      </c>
    </row>
    <row r="83" spans="1:23" x14ac:dyDescent="0.25">
      <c r="A83">
        <v>15</v>
      </c>
      <c r="B83">
        <v>17</v>
      </c>
      <c r="C83">
        <v>14.4</v>
      </c>
      <c r="D83">
        <v>15.7</v>
      </c>
      <c r="E83">
        <v>15.5</v>
      </c>
      <c r="F83">
        <v>15.5</v>
      </c>
      <c r="G83">
        <v>14.9</v>
      </c>
      <c r="H83">
        <v>14.9</v>
      </c>
      <c r="I83">
        <v>15</v>
      </c>
      <c r="J83">
        <v>15</v>
      </c>
      <c r="K83">
        <v>15.2</v>
      </c>
      <c r="L83">
        <v>14.8</v>
      </c>
      <c r="M83">
        <v>14.4</v>
      </c>
      <c r="N83">
        <v>15.1</v>
      </c>
      <c r="O83">
        <v>14.6</v>
      </c>
      <c r="P83">
        <v>16.899999999999999</v>
      </c>
      <c r="Q83">
        <v>14.4</v>
      </c>
      <c r="R83">
        <v>15.54</v>
      </c>
      <c r="S83">
        <v>14.6</v>
      </c>
      <c r="T83">
        <v>15.6</v>
      </c>
      <c r="U83">
        <v>14.3</v>
      </c>
      <c r="V83">
        <v>16.2</v>
      </c>
      <c r="W83">
        <v>15.3</v>
      </c>
    </row>
    <row r="84" spans="1:23" x14ac:dyDescent="0.25">
      <c r="A84">
        <v>14.2</v>
      </c>
      <c r="B84">
        <v>14.3</v>
      </c>
      <c r="C84">
        <v>14.3</v>
      </c>
      <c r="D84">
        <v>15.8</v>
      </c>
      <c r="E84">
        <v>15.2</v>
      </c>
      <c r="F84">
        <v>14.8</v>
      </c>
      <c r="G84">
        <v>14.6</v>
      </c>
      <c r="H84">
        <v>14.6</v>
      </c>
      <c r="I84">
        <v>15.8</v>
      </c>
      <c r="J84">
        <v>14</v>
      </c>
      <c r="K84">
        <v>14</v>
      </c>
      <c r="L84">
        <v>15</v>
      </c>
      <c r="M84">
        <v>14.4</v>
      </c>
      <c r="N84">
        <v>15.9</v>
      </c>
      <c r="O84">
        <v>15.1</v>
      </c>
      <c r="P84">
        <v>17</v>
      </c>
      <c r="Q84">
        <v>15</v>
      </c>
      <c r="R84">
        <v>15.1</v>
      </c>
      <c r="S84">
        <v>15.3</v>
      </c>
      <c r="T84">
        <v>14.6</v>
      </c>
      <c r="U84">
        <v>16.3</v>
      </c>
      <c r="V84">
        <v>15.1</v>
      </c>
      <c r="W84">
        <v>15.3</v>
      </c>
    </row>
    <row r="85" spans="1:23" x14ac:dyDescent="0.25">
      <c r="A85">
        <v>14.5</v>
      </c>
      <c r="B85">
        <v>15.6</v>
      </c>
      <c r="C85">
        <v>14.2</v>
      </c>
      <c r="D85">
        <v>15.7</v>
      </c>
      <c r="E85">
        <v>15</v>
      </c>
      <c r="F85">
        <v>15.5</v>
      </c>
      <c r="G85">
        <v>14.6</v>
      </c>
      <c r="H85">
        <v>17.100000000000001</v>
      </c>
      <c r="I85">
        <v>14.8</v>
      </c>
      <c r="J85">
        <v>16</v>
      </c>
      <c r="K85">
        <v>14.7</v>
      </c>
      <c r="L85">
        <v>14.2</v>
      </c>
      <c r="M85">
        <v>15</v>
      </c>
      <c r="N85">
        <v>15.2</v>
      </c>
      <c r="O85">
        <v>13.4</v>
      </c>
      <c r="P85">
        <v>16.7</v>
      </c>
      <c r="Q85">
        <v>16.2</v>
      </c>
      <c r="R85">
        <v>14.9</v>
      </c>
      <c r="S85">
        <v>16</v>
      </c>
      <c r="T85">
        <v>15.12</v>
      </c>
      <c r="U85">
        <v>15</v>
      </c>
      <c r="V85">
        <v>16.3</v>
      </c>
      <c r="W85">
        <v>15.3</v>
      </c>
    </row>
    <row r="86" spans="1:23" x14ac:dyDescent="0.25">
      <c r="A86">
        <v>14.4</v>
      </c>
      <c r="B86">
        <v>15.2</v>
      </c>
      <c r="C86">
        <v>14.4</v>
      </c>
      <c r="D86">
        <v>16.600000000000001</v>
      </c>
      <c r="E86">
        <v>16.600000000000001</v>
      </c>
      <c r="F86">
        <v>18.5</v>
      </c>
      <c r="G86">
        <v>14.5</v>
      </c>
      <c r="H86">
        <v>15.5</v>
      </c>
      <c r="I86">
        <v>15</v>
      </c>
      <c r="J86">
        <v>14.5</v>
      </c>
      <c r="K86">
        <v>14.7</v>
      </c>
      <c r="L86">
        <v>13.8</v>
      </c>
      <c r="M86">
        <v>14.4</v>
      </c>
      <c r="N86">
        <v>15.7</v>
      </c>
      <c r="O86">
        <v>14.3</v>
      </c>
      <c r="P86">
        <v>15</v>
      </c>
      <c r="Q86">
        <v>15.6</v>
      </c>
      <c r="R86">
        <v>14.2</v>
      </c>
      <c r="S86">
        <v>15.5</v>
      </c>
      <c r="T86">
        <v>15.78</v>
      </c>
      <c r="U86">
        <v>15.9</v>
      </c>
      <c r="V86">
        <v>16.5</v>
      </c>
      <c r="W86">
        <v>15.4</v>
      </c>
    </row>
    <row r="87" spans="1:23" x14ac:dyDescent="0.25">
      <c r="A87">
        <v>14.6</v>
      </c>
      <c r="B87">
        <v>13.7</v>
      </c>
      <c r="C87">
        <v>14.6</v>
      </c>
      <c r="D87">
        <v>15.7</v>
      </c>
      <c r="E87">
        <v>15.3</v>
      </c>
      <c r="F87">
        <v>15.7</v>
      </c>
      <c r="G87">
        <v>15.4</v>
      </c>
      <c r="H87">
        <v>15.4</v>
      </c>
      <c r="I87">
        <v>14.4</v>
      </c>
      <c r="J87">
        <v>14.3</v>
      </c>
      <c r="K87">
        <v>15.1</v>
      </c>
      <c r="L87">
        <v>15</v>
      </c>
      <c r="M87">
        <v>14.3</v>
      </c>
      <c r="N87">
        <v>14.8</v>
      </c>
      <c r="O87">
        <v>13.2</v>
      </c>
      <c r="P87">
        <v>15.3</v>
      </c>
      <c r="Q87">
        <v>15.7</v>
      </c>
      <c r="R87">
        <v>14.5</v>
      </c>
      <c r="S87">
        <v>15.9</v>
      </c>
      <c r="T87">
        <v>15.5</v>
      </c>
      <c r="U87">
        <v>14.7</v>
      </c>
      <c r="V87">
        <v>16.399999999999999</v>
      </c>
      <c r="W87">
        <v>15.5</v>
      </c>
    </row>
    <row r="88" spans="1:23" x14ac:dyDescent="0.25">
      <c r="A88">
        <v>14.5</v>
      </c>
      <c r="B88">
        <v>13.6</v>
      </c>
      <c r="C88">
        <v>14.6</v>
      </c>
      <c r="D88">
        <v>16.2</v>
      </c>
      <c r="E88">
        <v>14.6</v>
      </c>
      <c r="F88">
        <v>15.3</v>
      </c>
      <c r="G88">
        <v>14.7</v>
      </c>
      <c r="H88">
        <v>16</v>
      </c>
      <c r="I88">
        <v>14.5</v>
      </c>
      <c r="J88">
        <v>14.7</v>
      </c>
      <c r="K88">
        <v>14.8</v>
      </c>
      <c r="L88">
        <v>14.2</v>
      </c>
      <c r="M88">
        <v>15.1</v>
      </c>
      <c r="N88">
        <v>15.3</v>
      </c>
      <c r="O88">
        <v>13.3</v>
      </c>
      <c r="P88">
        <v>14.7</v>
      </c>
      <c r="Q88">
        <v>14.8</v>
      </c>
      <c r="R88">
        <v>14.6</v>
      </c>
      <c r="S88">
        <v>15.5</v>
      </c>
      <c r="T88">
        <v>15.5</v>
      </c>
      <c r="U88">
        <v>16</v>
      </c>
      <c r="V88">
        <v>15.8</v>
      </c>
      <c r="W88">
        <v>14.6</v>
      </c>
    </row>
    <row r="89" spans="1:23" x14ac:dyDescent="0.25">
      <c r="A89">
        <v>15.3</v>
      </c>
      <c r="B89">
        <v>15.9</v>
      </c>
      <c r="C89">
        <v>15.9</v>
      </c>
      <c r="D89">
        <v>15.3</v>
      </c>
      <c r="E89">
        <v>14.2</v>
      </c>
      <c r="F89">
        <v>15.2</v>
      </c>
      <c r="G89">
        <v>14.9</v>
      </c>
      <c r="H89">
        <v>15</v>
      </c>
      <c r="I89">
        <v>14.5</v>
      </c>
      <c r="J89">
        <v>15.7</v>
      </c>
      <c r="K89">
        <v>15.5</v>
      </c>
      <c r="L89">
        <v>14.2</v>
      </c>
      <c r="M89">
        <v>14.7</v>
      </c>
      <c r="N89">
        <v>16.8</v>
      </c>
      <c r="O89">
        <v>14.5</v>
      </c>
      <c r="P89">
        <v>18</v>
      </c>
      <c r="Q89">
        <v>13.7</v>
      </c>
      <c r="R89">
        <v>16.100000000000001</v>
      </c>
      <c r="S89">
        <v>14.9</v>
      </c>
      <c r="T89">
        <v>15.9</v>
      </c>
      <c r="U89">
        <v>13.8</v>
      </c>
      <c r="V89">
        <v>15.1</v>
      </c>
      <c r="W89">
        <v>14.9</v>
      </c>
    </row>
    <row r="90" spans="1:23" x14ac:dyDescent="0.25">
      <c r="A90">
        <v>13.8</v>
      </c>
      <c r="B90">
        <v>15.9</v>
      </c>
      <c r="C90">
        <v>14.7</v>
      </c>
      <c r="D90">
        <v>15.6</v>
      </c>
      <c r="E90">
        <v>14.1</v>
      </c>
      <c r="F90">
        <v>15.4</v>
      </c>
      <c r="G90">
        <v>14.6</v>
      </c>
      <c r="H90">
        <v>15</v>
      </c>
      <c r="I90">
        <v>14.7</v>
      </c>
      <c r="J90">
        <v>15.8</v>
      </c>
      <c r="K90">
        <v>15.7</v>
      </c>
      <c r="L90">
        <v>14.5</v>
      </c>
      <c r="M90">
        <v>14.3</v>
      </c>
      <c r="N90">
        <v>15.4</v>
      </c>
      <c r="O90">
        <v>13.8</v>
      </c>
      <c r="P90">
        <v>15.6</v>
      </c>
      <c r="Q90">
        <v>15.1</v>
      </c>
      <c r="R90">
        <v>15.2</v>
      </c>
      <c r="S90">
        <v>15</v>
      </c>
      <c r="T90">
        <v>14.7</v>
      </c>
      <c r="U90">
        <v>14.3</v>
      </c>
      <c r="V90">
        <v>15.3</v>
      </c>
      <c r="W90">
        <v>15.2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77EB-2AB2-455F-A936-8E1AD49E8F88}">
  <dimension ref="A2:L28"/>
  <sheetViews>
    <sheetView workbookViewId="0">
      <pane xSplit="3" topLeftCell="D1" activePane="topRight" state="frozen"/>
      <selection pane="topRight" activeCell="A5" sqref="A5:XFD5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1361</v>
      </c>
      <c r="C4" s="26" t="s">
        <v>1328</v>
      </c>
      <c r="D4" s="65" t="s">
        <v>288</v>
      </c>
      <c r="E4" s="39" t="s">
        <v>289</v>
      </c>
      <c r="F4" s="16">
        <v>8370</v>
      </c>
      <c r="G4" s="16">
        <v>15000</v>
      </c>
      <c r="H4" s="17">
        <v>8370</v>
      </c>
      <c r="I4" s="16">
        <f>G4-H4</f>
        <v>6630</v>
      </c>
      <c r="J4" s="16" t="s">
        <v>16</v>
      </c>
      <c r="K4" s="18"/>
      <c r="L4" s="19"/>
    </row>
    <row r="5" spans="1:12" ht="15.75" x14ac:dyDescent="0.25">
      <c r="A5" s="20" t="s">
        <v>44</v>
      </c>
      <c r="B5" s="21" t="s">
        <v>1793</v>
      </c>
      <c r="C5" s="28" t="s">
        <v>15</v>
      </c>
      <c r="D5" s="66" t="s">
        <v>1613</v>
      </c>
      <c r="E5" s="40" t="s">
        <v>45</v>
      </c>
      <c r="F5" s="22">
        <v>20000</v>
      </c>
      <c r="G5" s="42">
        <v>500000</v>
      </c>
      <c r="H5" s="23">
        <f>17000+47000+15000+31000+30000+20000</f>
        <v>160000</v>
      </c>
      <c r="I5" s="22">
        <f>G5-H5</f>
        <v>340000</v>
      </c>
      <c r="J5" s="22" t="s">
        <v>16</v>
      </c>
      <c r="K5" s="24"/>
      <c r="L5" s="25"/>
    </row>
    <row r="6" spans="1:12" ht="15.75" x14ac:dyDescent="0.25">
      <c r="A6" s="20" t="s">
        <v>22</v>
      </c>
      <c r="B6" s="21" t="s">
        <v>1845</v>
      </c>
      <c r="C6" s="28" t="s">
        <v>1846</v>
      </c>
      <c r="D6" s="66" t="s">
        <v>240</v>
      </c>
      <c r="E6" s="40" t="s">
        <v>1847</v>
      </c>
      <c r="F6" s="22">
        <v>808.1</v>
      </c>
      <c r="G6" s="42">
        <v>1000</v>
      </c>
      <c r="H6" s="23">
        <f>258+808.1</f>
        <v>1066.0999999999999</v>
      </c>
      <c r="I6" s="22">
        <f t="shared" ref="I6:I23" si="0">G6-H6</f>
        <v>-66.099999999999909</v>
      </c>
      <c r="J6" s="22" t="s">
        <v>24</v>
      </c>
      <c r="K6" s="24"/>
      <c r="L6" s="25"/>
    </row>
    <row r="7" spans="1:12" ht="15.75" x14ac:dyDescent="0.25">
      <c r="A7" s="20" t="s">
        <v>19</v>
      </c>
      <c r="B7" s="21" t="s">
        <v>1852</v>
      </c>
      <c r="C7" s="28" t="s">
        <v>1002</v>
      </c>
      <c r="D7" s="66" t="s">
        <v>1853</v>
      </c>
      <c r="E7" s="40" t="s">
        <v>1854</v>
      </c>
      <c r="F7" s="22">
        <v>3840</v>
      </c>
      <c r="G7" s="42">
        <v>15000</v>
      </c>
      <c r="H7" s="23">
        <f>3500+3840</f>
        <v>7340</v>
      </c>
      <c r="I7" s="22">
        <f t="shared" si="0"/>
        <v>7660</v>
      </c>
      <c r="J7" s="22" t="s">
        <v>16</v>
      </c>
      <c r="K7" s="24"/>
      <c r="L7" s="25"/>
    </row>
    <row r="8" spans="1:12" ht="15.75" x14ac:dyDescent="0.25">
      <c r="A8" s="20" t="s">
        <v>51</v>
      </c>
      <c r="B8" s="21" t="s">
        <v>1848</v>
      </c>
      <c r="C8" s="28" t="s">
        <v>15</v>
      </c>
      <c r="D8" s="66" t="s">
        <v>240</v>
      </c>
      <c r="E8" s="40" t="s">
        <v>1849</v>
      </c>
      <c r="F8" s="22">
        <v>167.8</v>
      </c>
      <c r="G8" s="42">
        <v>1000</v>
      </c>
      <c r="H8" s="23">
        <f>834+167.8</f>
        <v>1001.8</v>
      </c>
      <c r="I8" s="22">
        <f t="shared" si="0"/>
        <v>-1.7999999999999545</v>
      </c>
      <c r="J8" s="22" t="s">
        <v>24</v>
      </c>
      <c r="K8" s="24"/>
      <c r="L8" s="25"/>
    </row>
    <row r="9" spans="1:12" ht="15.75" x14ac:dyDescent="0.25">
      <c r="A9" s="20" t="s">
        <v>22</v>
      </c>
      <c r="B9" s="21" t="s">
        <v>1589</v>
      </c>
      <c r="C9" s="28" t="s">
        <v>701</v>
      </c>
      <c r="D9" s="66" t="s">
        <v>43</v>
      </c>
      <c r="E9" s="40" t="s">
        <v>38</v>
      </c>
      <c r="F9" s="22">
        <v>120.1</v>
      </c>
      <c r="G9" s="22">
        <v>3000</v>
      </c>
      <c r="H9" s="23">
        <f>1040.4+120.1</f>
        <v>1160.5</v>
      </c>
      <c r="I9" s="22">
        <f t="shared" si="0"/>
        <v>1839.5</v>
      </c>
      <c r="J9" s="22" t="s">
        <v>16</v>
      </c>
      <c r="K9" s="24"/>
      <c r="L9" s="25"/>
    </row>
    <row r="10" spans="1:12" ht="15.75" x14ac:dyDescent="0.25">
      <c r="A10" s="20" t="s">
        <v>21</v>
      </c>
      <c r="B10" s="21" t="s">
        <v>1866</v>
      </c>
      <c r="C10" s="28" t="s">
        <v>462</v>
      </c>
      <c r="D10" s="66" t="s">
        <v>18</v>
      </c>
      <c r="E10" s="40" t="s">
        <v>640</v>
      </c>
      <c r="F10" s="22">
        <f>4000+20000</f>
        <v>24000</v>
      </c>
      <c r="G10" s="42">
        <v>200000</v>
      </c>
      <c r="H10" s="23">
        <v>24000</v>
      </c>
      <c r="I10" s="22">
        <f t="shared" si="0"/>
        <v>176000</v>
      </c>
      <c r="J10" s="22" t="s">
        <v>16</v>
      </c>
      <c r="K10" s="24"/>
      <c r="L10" s="25"/>
    </row>
    <row r="11" spans="1:12" ht="15.75" x14ac:dyDescent="0.25">
      <c r="A11" s="20" t="s">
        <v>21</v>
      </c>
      <c r="B11" s="21" t="s">
        <v>1867</v>
      </c>
      <c r="C11" s="28" t="s">
        <v>287</v>
      </c>
      <c r="D11" s="66" t="s">
        <v>288</v>
      </c>
      <c r="E11" s="40" t="s">
        <v>289</v>
      </c>
      <c r="F11" s="22">
        <v>24000</v>
      </c>
      <c r="G11" s="42">
        <v>50000</v>
      </c>
      <c r="H11" s="23">
        <v>24000</v>
      </c>
      <c r="I11" s="22">
        <f t="shared" si="0"/>
        <v>26000</v>
      </c>
      <c r="J11" s="22" t="s">
        <v>16</v>
      </c>
      <c r="K11" s="24"/>
      <c r="L11" s="25"/>
    </row>
    <row r="12" spans="1:12" ht="15.75" x14ac:dyDescent="0.25">
      <c r="A12" s="20" t="s">
        <v>30</v>
      </c>
      <c r="B12" s="21" t="s">
        <v>1868</v>
      </c>
      <c r="C12" s="28" t="s">
        <v>330</v>
      </c>
      <c r="D12" s="66" t="s">
        <v>407</v>
      </c>
      <c r="E12" s="40" t="s">
        <v>1869</v>
      </c>
      <c r="F12" s="22">
        <v>5000</v>
      </c>
      <c r="G12" s="42">
        <v>5000</v>
      </c>
      <c r="H12" s="23">
        <v>5000</v>
      </c>
      <c r="I12" s="22">
        <f t="shared" si="0"/>
        <v>0</v>
      </c>
      <c r="J12" s="22" t="s">
        <v>24</v>
      </c>
      <c r="K12" s="24"/>
      <c r="L12" s="25"/>
    </row>
    <row r="13" spans="1:12" ht="15.75" x14ac:dyDescent="0.25">
      <c r="A13" s="20" t="s">
        <v>228</v>
      </c>
      <c r="B13" s="21" t="s">
        <v>641</v>
      </c>
      <c r="C13" s="28" t="s">
        <v>642</v>
      </c>
      <c r="D13" s="66" t="s">
        <v>288</v>
      </c>
      <c r="E13" s="40" t="s">
        <v>289</v>
      </c>
      <c r="F13" s="22">
        <v>1500</v>
      </c>
      <c r="G13" s="42">
        <v>22000</v>
      </c>
      <c r="H13" s="23">
        <v>1500</v>
      </c>
      <c r="I13" s="22">
        <f>G13-H13</f>
        <v>20500</v>
      </c>
      <c r="J13" s="22" t="s">
        <v>16</v>
      </c>
      <c r="K13" s="24"/>
      <c r="L13" s="25"/>
    </row>
    <row r="14" spans="1:12" ht="15.75" x14ac:dyDescent="0.25">
      <c r="A14" s="20" t="s">
        <v>231</v>
      </c>
      <c r="B14" s="21" t="s">
        <v>1870</v>
      </c>
      <c r="C14" s="28" t="s">
        <v>1871</v>
      </c>
      <c r="D14" s="66" t="s">
        <v>84</v>
      </c>
      <c r="E14" s="40" t="s">
        <v>636</v>
      </c>
      <c r="F14" s="22">
        <v>521.25</v>
      </c>
      <c r="G14" s="42">
        <v>500</v>
      </c>
      <c r="H14" s="23">
        <v>521.25</v>
      </c>
      <c r="I14" s="22">
        <f t="shared" si="0"/>
        <v>-21.25</v>
      </c>
      <c r="J14" s="22" t="s">
        <v>24</v>
      </c>
      <c r="K14" s="24"/>
      <c r="L14" s="25"/>
    </row>
    <row r="15" spans="1:12" ht="15.75" x14ac:dyDescent="0.25">
      <c r="A15" s="20" t="s">
        <v>19</v>
      </c>
      <c r="B15" s="21" t="s">
        <v>1872</v>
      </c>
      <c r="C15" s="28" t="s">
        <v>1002</v>
      </c>
      <c r="D15" s="66" t="s">
        <v>1873</v>
      </c>
      <c r="E15" s="40" t="s">
        <v>1851</v>
      </c>
      <c r="F15" s="22">
        <v>1785</v>
      </c>
      <c r="G15" s="42">
        <v>30000</v>
      </c>
      <c r="H15" s="23">
        <v>8285</v>
      </c>
      <c r="I15" s="22">
        <f t="shared" si="0"/>
        <v>21715</v>
      </c>
      <c r="J15" s="22" t="s">
        <v>16</v>
      </c>
      <c r="K15" s="24"/>
      <c r="L15" s="25"/>
    </row>
    <row r="16" spans="1:12" ht="15.75" x14ac:dyDescent="0.25">
      <c r="A16" s="20" t="s">
        <v>231</v>
      </c>
      <c r="B16" s="21" t="s">
        <v>1874</v>
      </c>
      <c r="C16" s="28" t="s">
        <v>865</v>
      </c>
      <c r="D16" s="66" t="s">
        <v>84</v>
      </c>
      <c r="E16" s="40" t="s">
        <v>1875</v>
      </c>
      <c r="F16" s="22">
        <v>937.8</v>
      </c>
      <c r="G16" s="42">
        <v>1575</v>
      </c>
      <c r="H16" s="23">
        <v>937.8</v>
      </c>
      <c r="I16" s="22">
        <f t="shared" si="0"/>
        <v>637.20000000000005</v>
      </c>
      <c r="J16" s="22" t="s">
        <v>16</v>
      </c>
      <c r="K16" s="24"/>
      <c r="L16" s="25"/>
    </row>
    <row r="17" spans="1:12" ht="15.75" x14ac:dyDescent="0.25">
      <c r="A17" s="20" t="s">
        <v>14</v>
      </c>
      <c r="B17" s="21" t="s">
        <v>1856</v>
      </c>
      <c r="C17" s="28" t="s">
        <v>15</v>
      </c>
      <c r="D17" s="66" t="s">
        <v>18</v>
      </c>
      <c r="E17" s="40" t="s">
        <v>1547</v>
      </c>
      <c r="F17" s="22">
        <v>5000</v>
      </c>
      <c r="G17" s="42">
        <v>30000</v>
      </c>
      <c r="H17" s="23">
        <f>3500+5000</f>
        <v>8500</v>
      </c>
      <c r="I17" s="22">
        <f t="shared" si="0"/>
        <v>21500</v>
      </c>
      <c r="J17" s="22" t="s">
        <v>16</v>
      </c>
      <c r="K17" s="24"/>
      <c r="L17" s="25"/>
    </row>
    <row r="18" spans="1:12" ht="15.75" x14ac:dyDescent="0.25">
      <c r="A18" s="20" t="s">
        <v>228</v>
      </c>
      <c r="B18" s="21" t="s">
        <v>1857</v>
      </c>
      <c r="C18" s="28" t="s">
        <v>15</v>
      </c>
      <c r="D18" s="66" t="s">
        <v>18</v>
      </c>
      <c r="E18" s="40" t="s">
        <v>361</v>
      </c>
      <c r="F18" s="22">
        <f>22000+36000</f>
        <v>58000</v>
      </c>
      <c r="G18" s="42">
        <v>200000</v>
      </c>
      <c r="H18" s="23">
        <v>58000</v>
      </c>
      <c r="I18" s="22">
        <f t="shared" si="0"/>
        <v>142000</v>
      </c>
      <c r="J18" s="22" t="s">
        <v>16</v>
      </c>
      <c r="K18" s="24"/>
      <c r="L18" s="25"/>
    </row>
    <row r="19" spans="1:12" ht="15.75" x14ac:dyDescent="0.25">
      <c r="A19" s="20" t="s">
        <v>228</v>
      </c>
      <c r="B19" s="21" t="s">
        <v>1858</v>
      </c>
      <c r="C19" s="28" t="s">
        <v>15</v>
      </c>
      <c r="D19" s="66" t="s">
        <v>18</v>
      </c>
      <c r="E19" s="40" t="s">
        <v>361</v>
      </c>
      <c r="F19" s="22">
        <f>22000+4280</f>
        <v>26280</v>
      </c>
      <c r="G19" s="42">
        <v>200000</v>
      </c>
      <c r="H19" s="23">
        <f>24000+26280</f>
        <v>50280</v>
      </c>
      <c r="I19" s="22">
        <f t="shared" si="0"/>
        <v>149720</v>
      </c>
      <c r="J19" s="22" t="s">
        <v>16</v>
      </c>
      <c r="K19" s="24"/>
      <c r="L19" s="25"/>
    </row>
    <row r="20" spans="1:12" ht="15.75" x14ac:dyDescent="0.25">
      <c r="A20" s="20" t="s">
        <v>19</v>
      </c>
      <c r="B20" s="21" t="s">
        <v>1862</v>
      </c>
      <c r="C20" s="28" t="s">
        <v>1863</v>
      </c>
      <c r="D20" s="66" t="s">
        <v>27</v>
      </c>
      <c r="E20" s="40" t="s">
        <v>1864</v>
      </c>
      <c r="F20" s="22">
        <v>6000</v>
      </c>
      <c r="G20" s="42">
        <v>11000</v>
      </c>
      <c r="H20" s="23">
        <v>6000</v>
      </c>
      <c r="I20" s="22">
        <f t="shared" si="0"/>
        <v>5000</v>
      </c>
      <c r="J20" s="22" t="s">
        <v>16</v>
      </c>
      <c r="K20" s="24"/>
      <c r="L20" s="25"/>
    </row>
    <row r="21" spans="1:12" ht="15.75" x14ac:dyDescent="0.25">
      <c r="A21" s="20" t="s">
        <v>17</v>
      </c>
      <c r="B21" s="21" t="s">
        <v>1865</v>
      </c>
      <c r="C21" s="28" t="s">
        <v>196</v>
      </c>
      <c r="D21" s="66" t="s">
        <v>18</v>
      </c>
      <c r="E21" s="40" t="s">
        <v>315</v>
      </c>
      <c r="F21" s="22">
        <v>843</v>
      </c>
      <c r="G21" s="42">
        <v>1000</v>
      </c>
      <c r="H21" s="23">
        <v>843</v>
      </c>
      <c r="I21" s="22">
        <f t="shared" si="0"/>
        <v>157</v>
      </c>
      <c r="J21" s="22" t="s">
        <v>16</v>
      </c>
      <c r="K21" s="24"/>
      <c r="L21" s="25"/>
    </row>
    <row r="22" spans="1:12" ht="18.75" customHeight="1" x14ac:dyDescent="0.25">
      <c r="A22" s="20" t="s">
        <v>228</v>
      </c>
      <c r="B22" s="21" t="s">
        <v>1859</v>
      </c>
      <c r="C22" s="28" t="s">
        <v>34</v>
      </c>
      <c r="D22" s="66" t="s">
        <v>18</v>
      </c>
      <c r="E22" s="40" t="s">
        <v>1860</v>
      </c>
      <c r="F22" s="22">
        <v>13707</v>
      </c>
      <c r="G22" s="22">
        <v>150000</v>
      </c>
      <c r="H22" s="23">
        <v>13707</v>
      </c>
      <c r="I22" s="22">
        <f>G22-H22</f>
        <v>136293</v>
      </c>
      <c r="J22" s="22" t="s">
        <v>16</v>
      </c>
      <c r="K22" s="24"/>
      <c r="L22" s="25"/>
    </row>
    <row r="23" spans="1:12" ht="15.75" x14ac:dyDescent="0.25">
      <c r="A23" s="20" t="s">
        <v>17</v>
      </c>
      <c r="B23" s="21" t="s">
        <v>1861</v>
      </c>
      <c r="C23" s="28" t="s">
        <v>1140</v>
      </c>
      <c r="D23" s="66" t="s">
        <v>42</v>
      </c>
      <c r="E23" s="40" t="s">
        <v>1141</v>
      </c>
      <c r="F23" s="22">
        <f>3500+9500</f>
        <v>13000</v>
      </c>
      <c r="G23" s="42">
        <v>20000</v>
      </c>
      <c r="H23" s="23">
        <v>13000</v>
      </c>
      <c r="I23" s="22">
        <f t="shared" si="0"/>
        <v>7000</v>
      </c>
      <c r="J23" s="22" t="s">
        <v>16</v>
      </c>
      <c r="K23" s="24"/>
      <c r="L23" s="25"/>
    </row>
    <row r="24" spans="1:12" ht="15.75" x14ac:dyDescent="0.25">
      <c r="A24" s="20" t="s">
        <v>231</v>
      </c>
      <c r="B24" s="21" t="s">
        <v>1876</v>
      </c>
      <c r="C24" s="28" t="s">
        <v>1877</v>
      </c>
      <c r="D24" s="29" t="s">
        <v>1878</v>
      </c>
      <c r="E24" s="40" t="s">
        <v>866</v>
      </c>
      <c r="F24" s="22">
        <v>303.5</v>
      </c>
      <c r="G24" s="22">
        <v>300</v>
      </c>
      <c r="H24" s="23">
        <v>303.5</v>
      </c>
      <c r="I24" s="22">
        <f>G24-H24</f>
        <v>-3.5</v>
      </c>
      <c r="J24" s="22" t="s">
        <v>24</v>
      </c>
      <c r="K24" s="24"/>
      <c r="L24" s="25"/>
    </row>
    <row r="25" spans="1:12" ht="15.75" x14ac:dyDescent="0.25">
      <c r="A25" s="20" t="s">
        <v>82</v>
      </c>
      <c r="B25" s="21" t="s">
        <v>1743</v>
      </c>
      <c r="C25" s="28" t="s">
        <v>15</v>
      </c>
      <c r="D25" s="66" t="s">
        <v>1000</v>
      </c>
      <c r="E25" s="40" t="s">
        <v>81</v>
      </c>
      <c r="F25" s="22">
        <v>350</v>
      </c>
      <c r="G25" s="42">
        <v>2000</v>
      </c>
      <c r="H25" s="23">
        <f>330+280+270+350</f>
        <v>1230</v>
      </c>
      <c r="I25" s="22">
        <f>G25-H25</f>
        <v>770</v>
      </c>
      <c r="J25" s="22" t="s">
        <v>16</v>
      </c>
      <c r="K25" s="24"/>
      <c r="L25" s="25"/>
    </row>
    <row r="26" spans="1:12" ht="15.75" x14ac:dyDescent="0.25">
      <c r="A26" s="20" t="s">
        <v>20</v>
      </c>
      <c r="B26" s="21" t="s">
        <v>1672</v>
      </c>
      <c r="C26" s="28" t="s">
        <v>34</v>
      </c>
      <c r="D26" s="66" t="s">
        <v>18</v>
      </c>
      <c r="E26" s="40" t="s">
        <v>1196</v>
      </c>
      <c r="F26" s="22">
        <v>8250</v>
      </c>
      <c r="G26" s="22">
        <v>150000</v>
      </c>
      <c r="H26" s="23">
        <f>3250+4100+8250</f>
        <v>15600</v>
      </c>
      <c r="I26" s="22">
        <f>G26-H26</f>
        <v>134400</v>
      </c>
      <c r="J26" s="22" t="s">
        <v>16</v>
      </c>
      <c r="K26" s="24"/>
      <c r="L26" s="25"/>
    </row>
    <row r="27" spans="1:12" ht="16.5" thickBot="1" x14ac:dyDescent="0.3">
      <c r="A27" s="43"/>
      <c r="B27" s="44"/>
      <c r="C27" s="45"/>
      <c r="D27" s="67"/>
      <c r="E27" s="47"/>
      <c r="F27" s="48"/>
      <c r="G27" s="62"/>
      <c r="H27" s="49"/>
      <c r="I27" s="48"/>
      <c r="J27" s="48"/>
      <c r="K27" s="50"/>
      <c r="L27" s="51"/>
    </row>
    <row r="28" spans="1:12" ht="16.5" thickBot="1" x14ac:dyDescent="0.3">
      <c r="A28" s="71"/>
      <c r="B28" s="72"/>
      <c r="C28" s="73"/>
      <c r="D28" s="74"/>
      <c r="E28" s="75"/>
      <c r="F28" s="76"/>
      <c r="G28" s="76"/>
      <c r="H28" s="77"/>
      <c r="I28" s="76"/>
      <c r="J28" s="76"/>
      <c r="K28" s="78"/>
      <c r="L28" s="79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AB01-6C39-4A49-84D9-211D1E238655}">
  <dimension ref="A2:L13"/>
  <sheetViews>
    <sheetView workbookViewId="0">
      <pane xSplit="3" topLeftCell="E1" activePane="topRight" state="frozen"/>
      <selection pane="topRight" activeCell="I7" sqref="I7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346</v>
      </c>
      <c r="B4" s="15" t="s">
        <v>1555</v>
      </c>
      <c r="C4" s="26" t="s">
        <v>187</v>
      </c>
      <c r="D4" s="65" t="s">
        <v>1879</v>
      </c>
      <c r="E4" s="39" t="s">
        <v>1880</v>
      </c>
      <c r="F4" s="16">
        <v>134.4</v>
      </c>
      <c r="G4" s="16">
        <v>100</v>
      </c>
      <c r="H4" s="17">
        <v>134.4</v>
      </c>
      <c r="I4" s="16">
        <f>G4-H4</f>
        <v>-34.400000000000006</v>
      </c>
      <c r="J4" s="16" t="s">
        <v>24</v>
      </c>
      <c r="K4" s="18"/>
      <c r="L4" s="19"/>
    </row>
    <row r="5" spans="1:12" ht="15.75" x14ac:dyDescent="0.25">
      <c r="A5" s="20" t="s">
        <v>346</v>
      </c>
      <c r="B5" s="21" t="s">
        <v>1381</v>
      </c>
      <c r="C5" s="28" t="s">
        <v>187</v>
      </c>
      <c r="D5" s="66" t="s">
        <v>1881</v>
      </c>
      <c r="E5" s="40" t="s">
        <v>46</v>
      </c>
      <c r="F5" s="22">
        <v>100</v>
      </c>
      <c r="G5" s="42">
        <v>100</v>
      </c>
      <c r="H5" s="23">
        <v>100</v>
      </c>
      <c r="I5" s="22">
        <f>G5-H5</f>
        <v>0</v>
      </c>
      <c r="J5" s="22" t="s">
        <v>1882</v>
      </c>
      <c r="K5" s="24"/>
      <c r="L5" s="25"/>
    </row>
    <row r="6" spans="1:12" ht="15.75" x14ac:dyDescent="0.25">
      <c r="A6" s="20" t="s">
        <v>346</v>
      </c>
      <c r="B6" s="21" t="s">
        <v>1673</v>
      </c>
      <c r="C6" s="28" t="s">
        <v>187</v>
      </c>
      <c r="D6" s="66" t="s">
        <v>1883</v>
      </c>
      <c r="E6" s="40" t="s">
        <v>46</v>
      </c>
      <c r="F6" s="22">
        <v>70</v>
      </c>
      <c r="G6" s="42">
        <v>100</v>
      </c>
      <c r="H6" s="23">
        <v>70</v>
      </c>
      <c r="I6" s="22">
        <f t="shared" ref="I6:I10" si="0">G6-H6</f>
        <v>30</v>
      </c>
      <c r="J6" s="22" t="s">
        <v>16</v>
      </c>
      <c r="K6" s="24"/>
      <c r="L6" s="25"/>
    </row>
    <row r="7" spans="1:12" ht="15.75" x14ac:dyDescent="0.25">
      <c r="A7" s="20" t="s">
        <v>346</v>
      </c>
      <c r="B7" s="21" t="s">
        <v>1746</v>
      </c>
      <c r="C7" s="28" t="s">
        <v>187</v>
      </c>
      <c r="D7" s="66" t="s">
        <v>1884</v>
      </c>
      <c r="E7" s="40" t="s">
        <v>46</v>
      </c>
      <c r="F7" s="22">
        <v>112.7</v>
      </c>
      <c r="G7" s="42">
        <v>100</v>
      </c>
      <c r="H7" s="23">
        <v>112.7</v>
      </c>
      <c r="I7" s="22">
        <f t="shared" si="0"/>
        <v>-12.700000000000003</v>
      </c>
      <c r="J7" s="22" t="s">
        <v>24</v>
      </c>
      <c r="K7" s="24"/>
      <c r="L7" s="25"/>
    </row>
    <row r="8" spans="1:12" ht="15.75" x14ac:dyDescent="0.25">
      <c r="A8" s="20" t="s">
        <v>346</v>
      </c>
      <c r="B8" s="21" t="s">
        <v>1473</v>
      </c>
      <c r="C8" s="28" t="s">
        <v>61</v>
      </c>
      <c r="D8" s="66" t="s">
        <v>1885</v>
      </c>
      <c r="E8" s="40" t="s">
        <v>46</v>
      </c>
      <c r="F8" s="22">
        <v>93</v>
      </c>
      <c r="G8" s="42">
        <v>100</v>
      </c>
      <c r="H8" s="23">
        <v>93</v>
      </c>
      <c r="I8" s="22">
        <f t="shared" si="0"/>
        <v>7</v>
      </c>
      <c r="J8" s="22" t="s">
        <v>16</v>
      </c>
      <c r="K8" s="24"/>
      <c r="L8" s="25"/>
    </row>
    <row r="9" spans="1:12" ht="15.75" x14ac:dyDescent="0.25">
      <c r="A9" s="20" t="s">
        <v>22</v>
      </c>
      <c r="B9" s="21" t="s">
        <v>1589</v>
      </c>
      <c r="C9" s="28" t="s">
        <v>701</v>
      </c>
      <c r="D9" s="66" t="s">
        <v>43</v>
      </c>
      <c r="E9" s="40" t="s">
        <v>38</v>
      </c>
      <c r="F9" s="22">
        <v>443.5</v>
      </c>
      <c r="G9" s="22">
        <v>3000</v>
      </c>
      <c r="H9" s="23">
        <f>1040.4+120.1+443.5</f>
        <v>1604</v>
      </c>
      <c r="I9" s="22">
        <f t="shared" si="0"/>
        <v>1396</v>
      </c>
      <c r="J9" s="22" t="s">
        <v>16</v>
      </c>
      <c r="K9" s="24"/>
      <c r="L9" s="25"/>
    </row>
    <row r="10" spans="1:12" ht="15.75" x14ac:dyDescent="0.25">
      <c r="A10" s="20" t="s">
        <v>25</v>
      </c>
      <c r="B10" s="21" t="s">
        <v>1391</v>
      </c>
      <c r="C10" s="28" t="s">
        <v>1392</v>
      </c>
      <c r="D10" s="29" t="s">
        <v>551</v>
      </c>
      <c r="E10" s="40" t="s">
        <v>1393</v>
      </c>
      <c r="F10" s="22">
        <v>10350</v>
      </c>
      <c r="G10" s="22">
        <v>91584</v>
      </c>
      <c r="H10" s="23">
        <f>10350+10350+11055+10475+10350</f>
        <v>52580</v>
      </c>
      <c r="I10" s="22">
        <f t="shared" si="0"/>
        <v>39004</v>
      </c>
      <c r="J10" s="22" t="s">
        <v>16</v>
      </c>
      <c r="K10" s="24"/>
      <c r="L10" s="25"/>
    </row>
    <row r="11" spans="1:12" ht="15.75" x14ac:dyDescent="0.25">
      <c r="A11" s="20" t="s">
        <v>82</v>
      </c>
      <c r="B11" s="21" t="s">
        <v>1743</v>
      </c>
      <c r="C11" s="28" t="s">
        <v>15</v>
      </c>
      <c r="D11" s="66" t="s">
        <v>1000</v>
      </c>
      <c r="E11" s="40" t="s">
        <v>81</v>
      </c>
      <c r="F11" s="22">
        <v>100</v>
      </c>
      <c r="G11" s="42">
        <v>2000</v>
      </c>
      <c r="H11" s="23">
        <f>330+280+270+350+100</f>
        <v>1330</v>
      </c>
      <c r="I11" s="22">
        <f>G11-H11</f>
        <v>670</v>
      </c>
      <c r="J11" s="22" t="s">
        <v>16</v>
      </c>
      <c r="K11" s="24"/>
      <c r="L11" s="25"/>
    </row>
    <row r="12" spans="1:12" ht="16.5" thickBot="1" x14ac:dyDescent="0.3">
      <c r="A12" s="43"/>
      <c r="B12" s="44"/>
      <c r="C12" s="45"/>
      <c r="D12" s="67"/>
      <c r="E12" s="47"/>
      <c r="F12" s="48"/>
      <c r="G12" s="62"/>
      <c r="H12" s="49"/>
      <c r="I12" s="48"/>
      <c r="J12" s="48"/>
      <c r="K12" s="50"/>
      <c r="L12" s="51"/>
    </row>
    <row r="13" spans="1:12" ht="16.5" thickBot="1" x14ac:dyDescent="0.3">
      <c r="A13" s="71"/>
      <c r="B13" s="72"/>
      <c r="C13" s="73"/>
      <c r="D13" s="74"/>
      <c r="E13" s="75"/>
      <c r="F13" s="76"/>
      <c r="G13" s="76"/>
      <c r="H13" s="77"/>
      <c r="I13" s="76"/>
      <c r="J13" s="76"/>
      <c r="K13" s="78"/>
      <c r="L13" s="79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5054-A4A9-47AC-994E-C74C01499FD6}">
  <dimension ref="A2:L18"/>
  <sheetViews>
    <sheetView workbookViewId="0">
      <pane xSplit="3" topLeftCell="D1" activePane="topRight" state="frozen"/>
      <selection pane="topRight" sqref="A1:XFD1048576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1744</v>
      </c>
      <c r="C4" s="26" t="s">
        <v>41</v>
      </c>
      <c r="D4" s="65" t="s">
        <v>1886</v>
      </c>
      <c r="E4" s="39" t="s">
        <v>1240</v>
      </c>
      <c r="F4" s="16">
        <f>5000+11500</f>
        <v>16500</v>
      </c>
      <c r="G4" s="16">
        <v>60000</v>
      </c>
      <c r="H4" s="17">
        <v>53500</v>
      </c>
      <c r="I4" s="16">
        <f>G4-H4</f>
        <v>6500</v>
      </c>
      <c r="J4" s="16" t="s">
        <v>16</v>
      </c>
      <c r="K4" s="18"/>
      <c r="L4" s="19"/>
    </row>
    <row r="5" spans="1:12" ht="15.75" x14ac:dyDescent="0.25">
      <c r="A5" s="20" t="s">
        <v>21</v>
      </c>
      <c r="B5" s="21" t="s">
        <v>1887</v>
      </c>
      <c r="C5" s="28" t="s">
        <v>41</v>
      </c>
      <c r="D5" s="66" t="s">
        <v>1888</v>
      </c>
      <c r="E5" s="40" t="s">
        <v>1889</v>
      </c>
      <c r="F5" s="22">
        <v>5000</v>
      </c>
      <c r="G5" s="42">
        <v>40000</v>
      </c>
      <c r="H5" s="23">
        <v>5000</v>
      </c>
      <c r="I5" s="22">
        <f>G5-H5</f>
        <v>35000</v>
      </c>
      <c r="J5" s="22" t="s">
        <v>16</v>
      </c>
      <c r="K5" s="24"/>
      <c r="L5" s="25"/>
    </row>
    <row r="6" spans="1:12" ht="15.75" x14ac:dyDescent="0.25">
      <c r="A6" s="20" t="s">
        <v>228</v>
      </c>
      <c r="B6" s="21" t="s">
        <v>1777</v>
      </c>
      <c r="C6" s="28" t="s">
        <v>210</v>
      </c>
      <c r="D6" s="66" t="s">
        <v>18</v>
      </c>
      <c r="E6" s="40" t="s">
        <v>427</v>
      </c>
      <c r="F6" s="22">
        <v>36000</v>
      </c>
      <c r="G6" s="42">
        <v>300000</v>
      </c>
      <c r="H6" s="23">
        <f>45000+28000+4000+36000</f>
        <v>113000</v>
      </c>
      <c r="I6" s="22">
        <f t="shared" ref="I6" si="0">G6-H6</f>
        <v>187000</v>
      </c>
      <c r="J6" s="22" t="s">
        <v>16</v>
      </c>
      <c r="K6" s="24"/>
      <c r="L6" s="25"/>
    </row>
    <row r="7" spans="1:12" ht="15.75" x14ac:dyDescent="0.25">
      <c r="A7" s="20" t="s">
        <v>1494</v>
      </c>
      <c r="B7" s="21" t="s">
        <v>1890</v>
      </c>
      <c r="C7" s="28" t="s">
        <v>287</v>
      </c>
      <c r="D7" s="66" t="s">
        <v>18</v>
      </c>
      <c r="E7" s="40" t="s">
        <v>424</v>
      </c>
      <c r="F7" s="22">
        <v>51000</v>
      </c>
      <c r="G7" s="42">
        <v>50000</v>
      </c>
      <c r="H7" s="23">
        <v>51000</v>
      </c>
      <c r="I7" s="22">
        <f t="shared" ref="I7:I16" si="1">G7-H7</f>
        <v>-1000</v>
      </c>
      <c r="J7" s="22" t="s">
        <v>24</v>
      </c>
      <c r="K7" s="24"/>
      <c r="L7" s="25"/>
    </row>
    <row r="8" spans="1:12" ht="15.75" x14ac:dyDescent="0.25">
      <c r="A8" s="20" t="s">
        <v>21</v>
      </c>
      <c r="B8" s="21" t="s">
        <v>1866</v>
      </c>
      <c r="C8" s="28" t="s">
        <v>462</v>
      </c>
      <c r="D8" s="66" t="s">
        <v>18</v>
      </c>
      <c r="E8" s="40" t="s">
        <v>640</v>
      </c>
      <c r="F8" s="22">
        <f>32000+8000</f>
        <v>40000</v>
      </c>
      <c r="G8" s="42">
        <v>200000</v>
      </c>
      <c r="H8" s="23">
        <f>24000+32000+8000</f>
        <v>64000</v>
      </c>
      <c r="I8" s="22">
        <f t="shared" si="1"/>
        <v>136000</v>
      </c>
      <c r="J8" s="22" t="s">
        <v>16</v>
      </c>
      <c r="K8" s="24"/>
      <c r="L8" s="25"/>
    </row>
    <row r="9" spans="1:12" ht="15.75" x14ac:dyDescent="0.25">
      <c r="A9" s="20" t="s">
        <v>19</v>
      </c>
      <c r="B9" s="21" t="s">
        <v>1891</v>
      </c>
      <c r="C9" s="28" t="s">
        <v>66</v>
      </c>
      <c r="D9" s="66" t="s">
        <v>18</v>
      </c>
      <c r="E9" s="40" t="s">
        <v>1892</v>
      </c>
      <c r="F9" s="22">
        <v>8500</v>
      </c>
      <c r="G9" s="42">
        <v>8000</v>
      </c>
      <c r="H9" s="23">
        <v>8500</v>
      </c>
      <c r="I9" s="22">
        <f t="shared" si="1"/>
        <v>-500</v>
      </c>
      <c r="J9" s="22" t="s">
        <v>24</v>
      </c>
      <c r="K9" s="24"/>
      <c r="L9" s="25"/>
    </row>
    <row r="10" spans="1:12" ht="15.75" x14ac:dyDescent="0.25">
      <c r="A10" s="20" t="s">
        <v>40</v>
      </c>
      <c r="B10" s="21" t="s">
        <v>1381</v>
      </c>
      <c r="C10" s="28" t="s">
        <v>15</v>
      </c>
      <c r="D10" s="66" t="s">
        <v>68</v>
      </c>
      <c r="E10" s="40" t="s">
        <v>69</v>
      </c>
      <c r="F10" s="22">
        <v>100000</v>
      </c>
      <c r="G10" s="42">
        <v>2000000</v>
      </c>
      <c r="H10" s="23">
        <v>300000</v>
      </c>
      <c r="I10" s="22">
        <f t="shared" si="1"/>
        <v>1700000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1656</v>
      </c>
      <c r="C11" s="28" t="s">
        <v>1893</v>
      </c>
      <c r="D11" s="66" t="s">
        <v>27</v>
      </c>
      <c r="E11" s="40" t="s">
        <v>1658</v>
      </c>
      <c r="F11" s="22">
        <v>2700</v>
      </c>
      <c r="G11" s="42">
        <v>5000</v>
      </c>
      <c r="H11" s="23">
        <v>5010</v>
      </c>
      <c r="I11" s="22">
        <f t="shared" si="1"/>
        <v>-10</v>
      </c>
      <c r="J11" s="22" t="s">
        <v>24</v>
      </c>
      <c r="K11" s="24"/>
      <c r="L11" s="25"/>
    </row>
    <row r="12" spans="1:12" ht="15.75" x14ac:dyDescent="0.25">
      <c r="A12" s="20" t="s">
        <v>22</v>
      </c>
      <c r="B12" s="21" t="s">
        <v>1894</v>
      </c>
      <c r="C12" s="28" t="s">
        <v>1895</v>
      </c>
      <c r="D12" s="66" t="s">
        <v>1286</v>
      </c>
      <c r="E12" s="40" t="s">
        <v>633</v>
      </c>
      <c r="F12" s="22">
        <v>184.9</v>
      </c>
      <c r="G12" s="42">
        <v>100</v>
      </c>
      <c r="H12" s="23">
        <v>184.9</v>
      </c>
      <c r="I12" s="22">
        <f t="shared" si="1"/>
        <v>-84.9</v>
      </c>
      <c r="J12" s="22" t="s">
        <v>24</v>
      </c>
      <c r="K12" s="24"/>
      <c r="L12" s="25"/>
    </row>
    <row r="13" spans="1:12" ht="15.75" x14ac:dyDescent="0.25">
      <c r="A13" s="20" t="s">
        <v>17</v>
      </c>
      <c r="B13" s="21" t="s">
        <v>1861</v>
      </c>
      <c r="C13" s="28" t="s">
        <v>1140</v>
      </c>
      <c r="D13" s="66" t="s">
        <v>42</v>
      </c>
      <c r="E13" s="40" t="s">
        <v>1141</v>
      </c>
      <c r="F13" s="22">
        <v>2000</v>
      </c>
      <c r="G13" s="42">
        <v>20000</v>
      </c>
      <c r="H13" s="23">
        <v>4000</v>
      </c>
      <c r="I13" s="22">
        <f t="shared" si="1"/>
        <v>16000</v>
      </c>
      <c r="J13" s="22" t="s">
        <v>16</v>
      </c>
      <c r="K13" s="24"/>
      <c r="L13" s="25"/>
    </row>
    <row r="14" spans="1:12" ht="15.75" x14ac:dyDescent="0.25">
      <c r="A14" s="20" t="s">
        <v>22</v>
      </c>
      <c r="B14" s="21" t="s">
        <v>1589</v>
      </c>
      <c r="C14" s="28" t="s">
        <v>701</v>
      </c>
      <c r="D14" s="66" t="s">
        <v>43</v>
      </c>
      <c r="E14" s="40" t="s">
        <v>38</v>
      </c>
      <c r="F14" s="22">
        <f>1183.1-443.5</f>
        <v>739.59999999999991</v>
      </c>
      <c r="G14" s="22">
        <v>3000</v>
      </c>
      <c r="H14" s="23">
        <f>1040.4+120.1+443.5+739.6</f>
        <v>2343.6</v>
      </c>
      <c r="I14" s="22">
        <f t="shared" si="1"/>
        <v>656.40000000000009</v>
      </c>
      <c r="J14" s="22" t="s">
        <v>16</v>
      </c>
      <c r="K14" s="24"/>
      <c r="L14" s="25"/>
    </row>
    <row r="15" spans="1:12" ht="15.75" x14ac:dyDescent="0.25">
      <c r="A15" s="20" t="s">
        <v>21</v>
      </c>
      <c r="B15" s="21" t="s">
        <v>1867</v>
      </c>
      <c r="C15" s="28" t="s">
        <v>287</v>
      </c>
      <c r="D15" s="29" t="s">
        <v>42</v>
      </c>
      <c r="E15" s="40" t="s">
        <v>289</v>
      </c>
      <c r="F15" s="22">
        <v>27375</v>
      </c>
      <c r="G15" s="22">
        <v>50000</v>
      </c>
      <c r="H15" s="23">
        <v>51275</v>
      </c>
      <c r="I15" s="22">
        <f t="shared" si="1"/>
        <v>-1275</v>
      </c>
      <c r="J15" s="22" t="s">
        <v>24</v>
      </c>
      <c r="K15" s="24"/>
      <c r="L15" s="25"/>
    </row>
    <row r="16" spans="1:12" ht="15.75" x14ac:dyDescent="0.25">
      <c r="A16" s="20" t="s">
        <v>22</v>
      </c>
      <c r="B16" s="21" t="s">
        <v>1628</v>
      </c>
      <c r="C16" s="28" t="s">
        <v>204</v>
      </c>
      <c r="D16" s="66" t="s">
        <v>1807</v>
      </c>
      <c r="E16" s="40" t="s">
        <v>206</v>
      </c>
      <c r="F16" s="22">
        <v>438.8</v>
      </c>
      <c r="G16" s="42">
        <v>3000</v>
      </c>
      <c r="H16" s="23">
        <f>657.9+331.7+388.8+438.8</f>
        <v>1817.1999999999998</v>
      </c>
      <c r="I16" s="22">
        <f t="shared" si="1"/>
        <v>1182.8000000000002</v>
      </c>
      <c r="J16" s="22" t="s">
        <v>16</v>
      </c>
      <c r="K16" s="24"/>
      <c r="L16" s="25"/>
    </row>
    <row r="17" spans="1:12" ht="16.5" thickBot="1" x14ac:dyDescent="0.3">
      <c r="A17" s="43"/>
      <c r="B17" s="44"/>
      <c r="C17" s="45"/>
      <c r="D17" s="67"/>
      <c r="E17" s="47"/>
      <c r="F17" s="48"/>
      <c r="G17" s="62"/>
      <c r="H17" s="49"/>
      <c r="I17" s="48"/>
      <c r="J17" s="48"/>
      <c r="K17" s="50"/>
      <c r="L17" s="51"/>
    </row>
    <row r="18" spans="1:12" ht="16.5" thickBot="1" x14ac:dyDescent="0.3">
      <c r="A18" s="71"/>
      <c r="B18" s="72"/>
      <c r="C18" s="73"/>
      <c r="D18" s="74"/>
      <c r="E18" s="75"/>
      <c r="F18" s="76"/>
      <c r="G18" s="76"/>
      <c r="H18" s="77"/>
      <c r="I18" s="76"/>
      <c r="J18" s="76"/>
      <c r="K18" s="78"/>
      <c r="L18" s="79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7F8C-E40E-49F1-A982-59A7CE844A94}">
  <dimension ref="A2:L23"/>
  <sheetViews>
    <sheetView tabSelected="1" workbookViewId="0">
      <pane xSplit="3" topLeftCell="F1" activePane="topRight" state="frozen"/>
      <selection pane="topRight" activeCell="I21" sqref="I21"/>
    </sheetView>
  </sheetViews>
  <sheetFormatPr defaultRowHeight="15" x14ac:dyDescent="0.25"/>
  <cols>
    <col min="1" max="1" width="10" customWidth="1"/>
    <col min="2" max="2" width="12.28515625" customWidth="1"/>
    <col min="3" max="3" width="28.5703125" customWidth="1"/>
    <col min="4" max="4" width="53.42578125" style="69" customWidth="1"/>
    <col min="5" max="5" width="42" customWidth="1"/>
    <col min="6" max="6" width="17" customWidth="1"/>
    <col min="7" max="7" width="16.28515625" customWidth="1"/>
    <col min="8" max="8" width="17.140625" customWidth="1"/>
    <col min="9" max="9" width="15.42578125" customWidth="1"/>
    <col min="10" max="10" width="20" customWidth="1"/>
    <col min="11" max="11" width="31.28515625" customWidth="1"/>
    <col min="12" max="12" width="12.5703125" customWidth="1"/>
  </cols>
  <sheetData>
    <row r="2" spans="1:12" ht="24.75" customHeight="1" thickBot="1" x14ac:dyDescent="0.35">
      <c r="A2" s="4" t="s">
        <v>0</v>
      </c>
      <c r="B2" s="1"/>
      <c r="C2" s="2"/>
      <c r="D2" s="63"/>
      <c r="E2" s="2" t="s">
        <v>1</v>
      </c>
      <c r="F2" s="1"/>
      <c r="G2" s="1"/>
      <c r="H2" s="1"/>
      <c r="I2" s="1"/>
      <c r="J2" s="1"/>
      <c r="K2" s="1"/>
      <c r="L2" s="1"/>
    </row>
    <row r="3" spans="1:12" ht="36" customHeight="1" thickBot="1" x14ac:dyDescent="0.35">
      <c r="A3" s="5" t="s">
        <v>2</v>
      </c>
      <c r="B3" s="6" t="s">
        <v>3</v>
      </c>
      <c r="C3" s="6" t="s">
        <v>4</v>
      </c>
      <c r="D3" s="64" t="s">
        <v>5</v>
      </c>
      <c r="E3" s="38" t="s">
        <v>6</v>
      </c>
      <c r="F3" s="8" t="s">
        <v>7</v>
      </c>
      <c r="G3" s="8" t="s">
        <v>8</v>
      </c>
      <c r="H3" s="9" t="s">
        <v>9</v>
      </c>
      <c r="I3" s="10" t="s">
        <v>10</v>
      </c>
      <c r="J3" s="11" t="s">
        <v>11</v>
      </c>
      <c r="K3" s="12" t="s">
        <v>12</v>
      </c>
      <c r="L3" s="13" t="s">
        <v>13</v>
      </c>
    </row>
    <row r="4" spans="1:12" ht="18.75" customHeight="1" x14ac:dyDescent="0.25">
      <c r="A4" s="14" t="s">
        <v>21</v>
      </c>
      <c r="B4" s="15" t="s">
        <v>1744</v>
      </c>
      <c r="C4" s="26" t="s">
        <v>41</v>
      </c>
      <c r="D4" s="65" t="s">
        <v>1886</v>
      </c>
      <c r="E4" s="39" t="s">
        <v>1240</v>
      </c>
      <c r="F4" s="16">
        <v>6000</v>
      </c>
      <c r="G4" s="16">
        <v>60000</v>
      </c>
      <c r="H4" s="17">
        <f>53500+6000</f>
        <v>59500</v>
      </c>
      <c r="I4" s="16">
        <f>G4-H4</f>
        <v>500</v>
      </c>
      <c r="J4" s="16" t="s">
        <v>16</v>
      </c>
      <c r="K4" s="18"/>
      <c r="L4" s="19"/>
    </row>
    <row r="5" spans="1:12" ht="15.75" x14ac:dyDescent="0.25">
      <c r="A5" s="20" t="s">
        <v>19</v>
      </c>
      <c r="B5" s="21" t="s">
        <v>1896</v>
      </c>
      <c r="C5" s="28" t="s">
        <v>1512</v>
      </c>
      <c r="D5" s="66" t="s">
        <v>146</v>
      </c>
      <c r="E5" s="40" t="s">
        <v>55</v>
      </c>
      <c r="F5" s="22">
        <f>2000+8150</f>
        <v>10150</v>
      </c>
      <c r="G5" s="42">
        <v>10000</v>
      </c>
      <c r="H5" s="23">
        <v>10150</v>
      </c>
      <c r="I5" s="22">
        <f>G5-H5</f>
        <v>-150</v>
      </c>
      <c r="J5" s="22" t="s">
        <v>24</v>
      </c>
      <c r="K5" s="24"/>
      <c r="L5" s="25"/>
    </row>
    <row r="6" spans="1:12" ht="15.75" x14ac:dyDescent="0.25">
      <c r="A6" s="20" t="s">
        <v>228</v>
      </c>
      <c r="B6" s="21" t="s">
        <v>1777</v>
      </c>
      <c r="C6" s="28" t="s">
        <v>210</v>
      </c>
      <c r="D6" s="66" t="s">
        <v>18</v>
      </c>
      <c r="E6" s="40" t="s">
        <v>427</v>
      </c>
      <c r="F6" s="22">
        <v>46000</v>
      </c>
      <c r="G6" s="42">
        <v>300000</v>
      </c>
      <c r="H6" s="23">
        <f>45000+28000+4000+36000+46000</f>
        <v>159000</v>
      </c>
      <c r="I6" s="22">
        <f t="shared" ref="I6:I21" si="0">G6-H6</f>
        <v>141000</v>
      </c>
      <c r="J6" s="22" t="s">
        <v>16</v>
      </c>
      <c r="K6" s="24"/>
      <c r="L6" s="25"/>
    </row>
    <row r="7" spans="1:12" ht="15.75" x14ac:dyDescent="0.25">
      <c r="A7" s="20" t="s">
        <v>19</v>
      </c>
      <c r="B7" s="21" t="s">
        <v>1862</v>
      </c>
      <c r="C7" s="28" t="s">
        <v>1897</v>
      </c>
      <c r="D7" s="66" t="s">
        <v>18</v>
      </c>
      <c r="E7" s="40" t="s">
        <v>1864</v>
      </c>
      <c r="F7" s="22">
        <v>4340</v>
      </c>
      <c r="G7" s="42">
        <v>11000</v>
      </c>
      <c r="H7" s="23">
        <v>10340</v>
      </c>
      <c r="I7" s="22">
        <f t="shared" si="0"/>
        <v>660</v>
      </c>
      <c r="J7" s="22" t="s">
        <v>16</v>
      </c>
      <c r="K7" s="24"/>
      <c r="L7" s="25"/>
    </row>
    <row r="8" spans="1:12" ht="15.75" x14ac:dyDescent="0.25">
      <c r="A8" s="20" t="s">
        <v>21</v>
      </c>
      <c r="B8" s="21" t="s">
        <v>1741</v>
      </c>
      <c r="C8" s="28" t="s">
        <v>1897</v>
      </c>
      <c r="D8" s="66" t="s">
        <v>27</v>
      </c>
      <c r="E8" s="40" t="s">
        <v>1898</v>
      </c>
      <c r="F8" s="22">
        <v>46000</v>
      </c>
      <c r="G8" s="42">
        <v>50000</v>
      </c>
      <c r="H8" s="23">
        <v>46000</v>
      </c>
      <c r="I8" s="22">
        <f t="shared" si="0"/>
        <v>4000</v>
      </c>
      <c r="J8" s="22" t="s">
        <v>16</v>
      </c>
      <c r="K8" s="24"/>
      <c r="L8" s="25"/>
    </row>
    <row r="9" spans="1:12" ht="15.75" x14ac:dyDescent="0.25">
      <c r="A9" s="20" t="s">
        <v>17</v>
      </c>
      <c r="B9" s="21" t="s">
        <v>1899</v>
      </c>
      <c r="C9" s="28" t="s">
        <v>1900</v>
      </c>
      <c r="D9" s="66" t="s">
        <v>1382</v>
      </c>
      <c r="E9" s="40" t="s">
        <v>885</v>
      </c>
      <c r="F9" s="22">
        <v>950</v>
      </c>
      <c r="G9" s="42">
        <v>2000</v>
      </c>
      <c r="H9" s="23">
        <v>950</v>
      </c>
      <c r="I9" s="22">
        <f t="shared" si="0"/>
        <v>1050</v>
      </c>
      <c r="J9" s="22" t="s">
        <v>16</v>
      </c>
      <c r="K9" s="24"/>
      <c r="L9" s="25"/>
    </row>
    <row r="10" spans="1:12" ht="15.75" x14ac:dyDescent="0.25">
      <c r="A10" s="20" t="s">
        <v>40</v>
      </c>
      <c r="B10" s="21" t="s">
        <v>1381</v>
      </c>
      <c r="C10" s="28" t="s">
        <v>15</v>
      </c>
      <c r="D10" s="66" t="s">
        <v>68</v>
      </c>
      <c r="E10" s="40" t="s">
        <v>69</v>
      </c>
      <c r="F10" s="22">
        <v>40000</v>
      </c>
      <c r="G10" s="42">
        <v>2000000</v>
      </c>
      <c r="H10" s="23">
        <f>300000+40000</f>
        <v>340000</v>
      </c>
      <c r="I10" s="22">
        <f t="shared" si="0"/>
        <v>1660000</v>
      </c>
      <c r="J10" s="22" t="s">
        <v>16</v>
      </c>
      <c r="K10" s="24"/>
      <c r="L10" s="25"/>
    </row>
    <row r="11" spans="1:12" ht="15.75" x14ac:dyDescent="0.25">
      <c r="A11" s="20" t="s">
        <v>14</v>
      </c>
      <c r="B11" s="21" t="s">
        <v>1672</v>
      </c>
      <c r="C11" s="28" t="s">
        <v>34</v>
      </c>
      <c r="D11" s="66" t="s">
        <v>18</v>
      </c>
      <c r="E11" s="40" t="s">
        <v>1196</v>
      </c>
      <c r="F11" s="22">
        <v>7000</v>
      </c>
      <c r="G11" s="42">
        <v>150000</v>
      </c>
      <c r="H11" s="23">
        <v>56000</v>
      </c>
      <c r="I11" s="22">
        <f t="shared" si="0"/>
        <v>94000</v>
      </c>
      <c r="J11" s="22" t="s">
        <v>16</v>
      </c>
      <c r="K11" s="24"/>
      <c r="L11" s="25"/>
    </row>
    <row r="12" spans="1:12" ht="15.75" x14ac:dyDescent="0.25">
      <c r="A12" s="20" t="s">
        <v>14</v>
      </c>
      <c r="B12" s="21" t="s">
        <v>1901</v>
      </c>
      <c r="C12" s="28" t="s">
        <v>15</v>
      </c>
      <c r="D12" s="66" t="s">
        <v>18</v>
      </c>
      <c r="E12" s="40" t="s">
        <v>807</v>
      </c>
      <c r="F12" s="22">
        <v>6000</v>
      </c>
      <c r="G12" s="42">
        <v>50000</v>
      </c>
      <c r="H12" s="23">
        <v>6000</v>
      </c>
      <c r="I12" s="22">
        <f t="shared" si="0"/>
        <v>44000</v>
      </c>
      <c r="J12" s="22" t="s">
        <v>16</v>
      </c>
      <c r="K12" s="24"/>
      <c r="L12" s="25"/>
    </row>
    <row r="13" spans="1:12" ht="15.75" x14ac:dyDescent="0.25">
      <c r="A13" s="20" t="s">
        <v>17</v>
      </c>
      <c r="B13" s="21" t="s">
        <v>1861</v>
      </c>
      <c r="C13" s="28" t="s">
        <v>1140</v>
      </c>
      <c r="D13" s="66" t="s">
        <v>42</v>
      </c>
      <c r="E13" s="40" t="s">
        <v>1141</v>
      </c>
      <c r="F13" s="22">
        <v>7600</v>
      </c>
      <c r="G13" s="42">
        <v>20000</v>
      </c>
      <c r="H13" s="23">
        <f>4000+7600</f>
        <v>11600</v>
      </c>
      <c r="I13" s="22">
        <f t="shared" si="0"/>
        <v>8400</v>
      </c>
      <c r="J13" s="22" t="s">
        <v>16</v>
      </c>
      <c r="K13" s="24"/>
      <c r="L13" s="25"/>
    </row>
    <row r="14" spans="1:12" ht="15.75" x14ac:dyDescent="0.25">
      <c r="A14" s="20" t="s">
        <v>20</v>
      </c>
      <c r="B14" s="21" t="s">
        <v>1902</v>
      </c>
      <c r="C14" s="28" t="s">
        <v>15</v>
      </c>
      <c r="D14" s="66" t="s">
        <v>18</v>
      </c>
      <c r="E14" s="40" t="s">
        <v>1485</v>
      </c>
      <c r="F14" s="22">
        <v>1500</v>
      </c>
      <c r="G14" s="22">
        <v>30000</v>
      </c>
      <c r="H14" s="23">
        <v>1500</v>
      </c>
      <c r="I14" s="22">
        <f t="shared" si="0"/>
        <v>28500</v>
      </c>
      <c r="J14" s="22" t="s">
        <v>16</v>
      </c>
      <c r="K14" s="24"/>
      <c r="L14" s="25"/>
    </row>
    <row r="15" spans="1:12" ht="15.75" x14ac:dyDescent="0.25">
      <c r="A15" s="20" t="s">
        <v>346</v>
      </c>
      <c r="B15" s="21" t="s">
        <v>1473</v>
      </c>
      <c r="C15" s="28" t="s">
        <v>61</v>
      </c>
      <c r="D15" s="66" t="s">
        <v>1906</v>
      </c>
      <c r="E15" s="40" t="s">
        <v>46</v>
      </c>
      <c r="F15" s="22">
        <v>264.2</v>
      </c>
      <c r="G15" s="22">
        <v>400</v>
      </c>
      <c r="H15" s="23">
        <v>264.2</v>
      </c>
      <c r="I15" s="22">
        <f t="shared" si="0"/>
        <v>135.80000000000001</v>
      </c>
      <c r="J15" s="22" t="s">
        <v>16</v>
      </c>
      <c r="K15" s="24"/>
      <c r="L15" s="25"/>
    </row>
    <row r="16" spans="1:12" ht="15.75" x14ac:dyDescent="0.25">
      <c r="A16" s="20" t="s">
        <v>44</v>
      </c>
      <c r="B16" s="21" t="s">
        <v>1793</v>
      </c>
      <c r="C16" s="28" t="s">
        <v>15</v>
      </c>
      <c r="D16" s="66" t="s">
        <v>1613</v>
      </c>
      <c r="E16" s="40" t="s">
        <v>45</v>
      </c>
      <c r="F16" s="22">
        <v>22250</v>
      </c>
      <c r="G16" s="42">
        <v>500000</v>
      </c>
      <c r="H16" s="23">
        <f>17000+47000+15000+31000+30000+20000+22250</f>
        <v>182250</v>
      </c>
      <c r="I16" s="22">
        <f>G16-H16</f>
        <v>317750</v>
      </c>
      <c r="J16" s="22" t="s">
        <v>16</v>
      </c>
      <c r="K16" s="24"/>
      <c r="L16" s="25"/>
    </row>
    <row r="17" spans="1:12" ht="15.75" x14ac:dyDescent="0.25">
      <c r="A17" s="20" t="s">
        <v>30</v>
      </c>
      <c r="B17" s="21" t="s">
        <v>1743</v>
      </c>
      <c r="C17" s="28" t="s">
        <v>638</v>
      </c>
      <c r="D17" s="66" t="s">
        <v>37</v>
      </c>
      <c r="E17" s="40" t="s">
        <v>313</v>
      </c>
      <c r="F17" s="22">
        <v>10000</v>
      </c>
      <c r="G17" s="22">
        <v>21500</v>
      </c>
      <c r="H17" s="23">
        <v>10000</v>
      </c>
      <c r="I17" s="22">
        <f>G17-H17</f>
        <v>11500</v>
      </c>
      <c r="J17" s="22" t="s">
        <v>16</v>
      </c>
      <c r="K17" s="24"/>
      <c r="L17" s="25"/>
    </row>
    <row r="18" spans="1:12" ht="15.75" x14ac:dyDescent="0.25">
      <c r="A18" s="20" t="s">
        <v>30</v>
      </c>
      <c r="B18" s="21" t="s">
        <v>1545</v>
      </c>
      <c r="C18" s="28" t="s">
        <v>1749</v>
      </c>
      <c r="D18" s="66" t="s">
        <v>48</v>
      </c>
      <c r="E18" s="40" t="s">
        <v>49</v>
      </c>
      <c r="F18" s="22">
        <v>14900</v>
      </c>
      <c r="G18" s="22">
        <v>270000</v>
      </c>
      <c r="H18" s="23">
        <v>14900</v>
      </c>
      <c r="I18" s="22">
        <f>G18-H18</f>
        <v>255100</v>
      </c>
      <c r="J18" s="22" t="s">
        <v>16</v>
      </c>
      <c r="K18" s="24"/>
      <c r="L18" s="25"/>
    </row>
    <row r="19" spans="1:12" ht="15.75" x14ac:dyDescent="0.25">
      <c r="A19" s="20" t="s">
        <v>51</v>
      </c>
      <c r="B19" s="21" t="s">
        <v>1907</v>
      </c>
      <c r="C19" s="28" t="s">
        <v>1908</v>
      </c>
      <c r="D19" s="66" t="s">
        <v>48</v>
      </c>
      <c r="E19" s="40" t="s">
        <v>633</v>
      </c>
      <c r="F19" s="22">
        <v>110</v>
      </c>
      <c r="G19" s="22">
        <v>100</v>
      </c>
      <c r="H19" s="23">
        <v>110</v>
      </c>
      <c r="I19" s="22">
        <f>G19-H19</f>
        <v>-10</v>
      </c>
      <c r="J19" s="22" t="s">
        <v>24</v>
      </c>
      <c r="K19" s="24"/>
      <c r="L19" s="25"/>
    </row>
    <row r="20" spans="1:12" ht="15.75" x14ac:dyDescent="0.25">
      <c r="A20" s="20" t="s">
        <v>51</v>
      </c>
      <c r="B20" s="21" t="s">
        <v>1903</v>
      </c>
      <c r="C20" s="28" t="s">
        <v>1904</v>
      </c>
      <c r="D20" s="29" t="s">
        <v>240</v>
      </c>
      <c r="E20" s="40" t="s">
        <v>866</v>
      </c>
      <c r="F20" s="22">
        <v>411</v>
      </c>
      <c r="G20" s="22">
        <v>400</v>
      </c>
      <c r="H20" s="23">
        <v>411</v>
      </c>
      <c r="I20" s="22">
        <f t="shared" si="0"/>
        <v>-11</v>
      </c>
      <c r="J20" s="22" t="s">
        <v>24</v>
      </c>
      <c r="K20" s="24"/>
      <c r="L20" s="25"/>
    </row>
    <row r="21" spans="1:12" ht="15.75" x14ac:dyDescent="0.25">
      <c r="A21" s="20" t="s">
        <v>22</v>
      </c>
      <c r="B21" s="21" t="s">
        <v>1905</v>
      </c>
      <c r="C21" s="28" t="s">
        <v>204</v>
      </c>
      <c r="D21" s="66" t="s">
        <v>1807</v>
      </c>
      <c r="E21" s="40" t="s">
        <v>206</v>
      </c>
      <c r="F21" s="22">
        <v>444.9</v>
      </c>
      <c r="G21" s="42">
        <v>3000</v>
      </c>
      <c r="H21" s="23">
        <v>1233.5</v>
      </c>
      <c r="I21" s="22">
        <f t="shared" si="0"/>
        <v>1766.5</v>
      </c>
      <c r="J21" s="22" t="s">
        <v>16</v>
      </c>
      <c r="K21" s="24"/>
      <c r="L21" s="25"/>
    </row>
    <row r="22" spans="1:12" ht="16.5" thickBot="1" x14ac:dyDescent="0.3">
      <c r="A22" s="43"/>
      <c r="B22" s="44"/>
      <c r="C22" s="45"/>
      <c r="D22" s="67"/>
      <c r="E22" s="47"/>
      <c r="F22" s="48"/>
      <c r="G22" s="62"/>
      <c r="H22" s="49"/>
      <c r="I22" s="48"/>
      <c r="J22" s="48"/>
      <c r="K22" s="50"/>
      <c r="L22" s="51"/>
    </row>
    <row r="23" spans="1:12" ht="16.5" thickBot="1" x14ac:dyDescent="0.3">
      <c r="A23" s="71"/>
      <c r="B23" s="72"/>
      <c r="C23" s="73"/>
      <c r="D23" s="74"/>
      <c r="E23" s="75"/>
      <c r="F23" s="76"/>
      <c r="G23" s="76"/>
      <c r="H23" s="77"/>
      <c r="I23" s="76"/>
      <c r="J23" s="76"/>
      <c r="K23" s="78"/>
      <c r="L23" s="79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4E8E-22B6-47A3-AC44-3E0F003DC401}">
  <dimension ref="A22:A25"/>
  <sheetViews>
    <sheetView workbookViewId="0">
      <selection activeCell="A26" sqref="A1:XFD1048576"/>
    </sheetView>
  </sheetViews>
  <sheetFormatPr defaultRowHeight="15" x14ac:dyDescent="0.25"/>
  <sheetData>
    <row r="22" spans="1:1" x14ac:dyDescent="0.25">
      <c r="A22">
        <f>40*11</f>
        <v>440</v>
      </c>
    </row>
    <row r="23" spans="1:1" x14ac:dyDescent="0.25">
      <c r="A23">
        <v>600</v>
      </c>
    </row>
    <row r="24" spans="1:1" x14ac:dyDescent="0.25">
      <c r="A24">
        <f>25*20</f>
        <v>500</v>
      </c>
    </row>
    <row r="25" spans="1:1" x14ac:dyDescent="0.25">
      <c r="A25">
        <v>70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5C3E-9363-4D3A-AC22-F21CDDC5684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AE0F-5934-413D-8CB1-91CC87943E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A996-EC4E-4ABB-B1E6-10DD9C6B86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109B-3C80-4616-B2C8-5B29528424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C238-020C-470F-8721-05F768ADA9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7FA5-7857-4D18-92E9-351F6A63DD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431E-58EE-4630-A269-7D4AB7F3BD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AF2B-5EF3-4F10-938E-98A552A79A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2912-8CBD-407C-A9BA-D3169F279F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11CA-C455-45EC-887E-D8D77086F8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7EA7-FDA1-4BBC-96C7-D0484F6029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46F5-D7C4-4DCF-BAA8-850CE80AD1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C894-0ED4-4AA2-A04C-E6ACFCC9D6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A707-D315-4943-B3A8-5D5475A22B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1BA0-7CEF-470B-BFDA-9D3DFFAEFB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C349-BDDE-4E4E-85D3-CA45B6589A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23AE-73F2-499D-A271-066A324284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A873-9F5A-4E65-ADF7-A8E042BCEB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C01E-F196-4259-B21F-4EB77F9864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8E3F-0692-495E-A37D-85A4E56398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12AE-CD06-4E9A-A172-22E6D49D80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1069-5438-438E-98C7-A51E91AC81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331E-00DD-4E87-B6B5-4D83CFC9D9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3924-F546-4113-A39F-1774F9942E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2B70-B069-41FF-9B34-A0098A9269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F0FD-633B-4DD7-AB4C-53C04D88DB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6E68-BA9D-4A59-A3F8-9829BF3692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E681-DD1F-458B-9A14-47FB75A7B2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A468-FD23-4081-82DA-826B4853FD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51D0-7BE4-4C61-9226-4963C4BBA9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157</vt:i4>
      </vt:variant>
    </vt:vector>
  </HeadingPairs>
  <TitlesOfParts>
    <vt:vector size="157" baseType="lpstr">
      <vt:lpstr>01.04.2026</vt:lpstr>
      <vt:lpstr>02.04.2026</vt:lpstr>
      <vt:lpstr>03.04.2026</vt:lpstr>
      <vt:lpstr>07.04.2026</vt:lpstr>
      <vt:lpstr>08.04.2026</vt:lpstr>
      <vt:lpstr>09.04.2026</vt:lpstr>
      <vt:lpstr>10.04.2026</vt:lpstr>
      <vt:lpstr>11.04.2026</vt:lpstr>
      <vt:lpstr>13.04.2026</vt:lpstr>
      <vt:lpstr>14.04.2026</vt:lpstr>
      <vt:lpstr>15.04.2026</vt:lpstr>
      <vt:lpstr>16.04.2026</vt:lpstr>
      <vt:lpstr>17.04.2026</vt:lpstr>
      <vt:lpstr>18.04.2026</vt:lpstr>
      <vt:lpstr>20.04.2026</vt:lpstr>
      <vt:lpstr>21.04.2026</vt:lpstr>
      <vt:lpstr>22.04.2026</vt:lpstr>
      <vt:lpstr>23.04.2026</vt:lpstr>
      <vt:lpstr>24.04.2026</vt:lpstr>
      <vt:lpstr>25.04.2026</vt:lpstr>
      <vt:lpstr>27.04.2026</vt:lpstr>
      <vt:lpstr>28.04.2026</vt:lpstr>
      <vt:lpstr>29.04.2026</vt:lpstr>
      <vt:lpstr>30.04.2026</vt:lpstr>
      <vt:lpstr>02.05.2026</vt:lpstr>
      <vt:lpstr>04.05.2026</vt:lpstr>
      <vt:lpstr>05.05.2026</vt:lpstr>
      <vt:lpstr>06.05.2026</vt:lpstr>
      <vt:lpstr>07.05.2026</vt:lpstr>
      <vt:lpstr>08.05.2026</vt:lpstr>
      <vt:lpstr>09.05.2026</vt:lpstr>
      <vt:lpstr>12.05.2026</vt:lpstr>
      <vt:lpstr>13.05.2026</vt:lpstr>
      <vt:lpstr>14.05.2026</vt:lpstr>
      <vt:lpstr>15.05.2026</vt:lpstr>
      <vt:lpstr>18.05.2026</vt:lpstr>
      <vt:lpstr>19.05.2026</vt:lpstr>
      <vt:lpstr>20.05.2026</vt:lpstr>
      <vt:lpstr>21.05.2026</vt:lpstr>
      <vt:lpstr>22.05.2026</vt:lpstr>
      <vt:lpstr>23.05.2026</vt:lpstr>
      <vt:lpstr>26.05.2026</vt:lpstr>
      <vt:lpstr>27.05.2026</vt:lpstr>
      <vt:lpstr>28.05.2026</vt:lpstr>
      <vt:lpstr>29.05.2026</vt:lpstr>
      <vt:lpstr>30.05.2026</vt:lpstr>
      <vt:lpstr>01.06.2026</vt:lpstr>
      <vt:lpstr>02.06.2026</vt:lpstr>
      <vt:lpstr>03.06.2026</vt:lpstr>
      <vt:lpstr>04.06.2026</vt:lpstr>
      <vt:lpstr>05.06.2026</vt:lpstr>
      <vt:lpstr>06.06.2026</vt:lpstr>
      <vt:lpstr>08.06.2026</vt:lpstr>
      <vt:lpstr>09.06.2026</vt:lpstr>
      <vt:lpstr>10.06.2026</vt:lpstr>
      <vt:lpstr>11.06.2026</vt:lpstr>
      <vt:lpstr>12.06.2026</vt:lpstr>
      <vt:lpstr>13.06.2026</vt:lpstr>
      <vt:lpstr>15.06.2026</vt:lpstr>
      <vt:lpstr>16.06.2026</vt:lpstr>
      <vt:lpstr>17.06.2026</vt:lpstr>
      <vt:lpstr>18.06.2026</vt:lpstr>
      <vt:lpstr>19.06.2026</vt:lpstr>
      <vt:lpstr>20.06.2026</vt:lpstr>
      <vt:lpstr>22.06.2026</vt:lpstr>
      <vt:lpstr>23.06.2026</vt:lpstr>
      <vt:lpstr>24.06.2026</vt:lpstr>
      <vt:lpstr>25.06.2026</vt:lpstr>
      <vt:lpstr>26.06.2026</vt:lpstr>
      <vt:lpstr>27.06.2026</vt:lpstr>
      <vt:lpstr>29.06.2026</vt:lpstr>
      <vt:lpstr>30.06.2026</vt:lpstr>
      <vt:lpstr>01.07.2026</vt:lpstr>
      <vt:lpstr>02.07.2026</vt:lpstr>
      <vt:lpstr>03.07.2026</vt:lpstr>
      <vt:lpstr>04.07.2026</vt:lpstr>
      <vt:lpstr>06.07.2026</vt:lpstr>
      <vt:lpstr>07.07.2026</vt:lpstr>
      <vt:lpstr>08.07.2026</vt:lpstr>
      <vt:lpstr>09.07.2026</vt:lpstr>
      <vt:lpstr>10.07.2026</vt:lpstr>
      <vt:lpstr>11.07.2026</vt:lpstr>
      <vt:lpstr>13.07.2026</vt:lpstr>
      <vt:lpstr>14.07.2026</vt:lpstr>
      <vt:lpstr>15.07.2026</vt:lpstr>
      <vt:lpstr>16.07.2026</vt:lpstr>
      <vt:lpstr>17.07.2026</vt:lpstr>
      <vt:lpstr>18.07.2026</vt:lpstr>
      <vt:lpstr>20.07.2026</vt:lpstr>
      <vt:lpstr>M L T COUNTING</vt:lpstr>
      <vt:lpstr>23.07.2026</vt:lpstr>
      <vt:lpstr>24.07.2026</vt:lpstr>
      <vt:lpstr>25.07.2026</vt:lpstr>
      <vt:lpstr>27.07.2026</vt:lpstr>
      <vt:lpstr>M L T number 2</vt:lpstr>
      <vt:lpstr>28.07.2026</vt:lpstr>
      <vt:lpstr>29.07.2026</vt:lpstr>
      <vt:lpstr>30.07.2026</vt:lpstr>
      <vt:lpstr>31.07.2026</vt:lpstr>
      <vt:lpstr>01.08.2026</vt:lpstr>
      <vt:lpstr>03.08.2026</vt:lpstr>
      <vt:lpstr>04.08.2026</vt:lpstr>
      <vt:lpstr>05.08.2026</vt:lpstr>
      <vt:lpstr>M L T Nu3</vt:lpstr>
      <vt:lpstr>06.08.2026</vt:lpstr>
      <vt:lpstr>07.08.2026</vt:lpstr>
      <vt:lpstr>08.08.2026</vt:lpstr>
      <vt:lpstr>12.08.2026</vt:lpstr>
      <vt:lpstr>13.08.2026</vt:lpstr>
      <vt:lpstr>Sheet114</vt:lpstr>
      <vt:lpstr>17.08.2026</vt:lpstr>
      <vt:lpstr>18.08.2026</vt:lpstr>
      <vt:lpstr>19.08.2026</vt:lpstr>
      <vt:lpstr>20.08.2026</vt:lpstr>
      <vt:lpstr>MLT NU4</vt:lpstr>
      <vt:lpstr>21.08.2026</vt:lpstr>
      <vt:lpstr>22.08.2026</vt:lpstr>
      <vt:lpstr>24.08.2026</vt:lpstr>
      <vt:lpstr>25.08.2026</vt:lpstr>
      <vt:lpstr>26.08.2026</vt:lpstr>
      <vt:lpstr>27.08.2026</vt:lpstr>
      <vt:lpstr>MLT5</vt:lpstr>
      <vt:lpstr>28.08.2026</vt:lpstr>
      <vt:lpstr>29.08.2026</vt:lpstr>
      <vt:lpstr>31.08.2026</vt:lpstr>
      <vt:lpstr>01.09.2026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Chikwangwani</dc:creator>
  <cp:lastModifiedBy>Rawplast</cp:lastModifiedBy>
  <dcterms:created xsi:type="dcterms:W3CDTF">2025-11-26T09:55:52Z</dcterms:created>
  <dcterms:modified xsi:type="dcterms:W3CDTF">2026-09-01T14:23:42Z</dcterms:modified>
</cp:coreProperties>
</file>